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laude_code\cloudchaser\reference\"/>
    </mc:Choice>
  </mc:AlternateContent>
  <xr:revisionPtr revIDLastSave="0" documentId="13_ncr:1_{F7075FEF-0330-40F7-9A73-369BCF3F38E6}" xr6:coauthVersionLast="47" xr6:coauthVersionMax="47" xr10:uidLastSave="{00000000-0000-0000-0000-000000000000}"/>
  <bookViews>
    <workbookView xWindow="-98" yWindow="-98" windowWidth="28996" windowHeight="15675" tabRatio="850" activeTab="4" xr2:uid="{522B0E08-4D3B-4660-AD8E-42628DE8EA5A}"/>
  </bookViews>
  <sheets>
    <sheet name="Linearity (Rx)" sheetId="4" r:id="rId1"/>
    <sheet name="Gain Accuracy (Rx)" sheetId="6" r:id="rId2"/>
    <sheet name="Gain Accuracy_B1V0 (Rx)" sheetId="7" state="hidden" r:id="rId3"/>
    <sheet name="Total PDC (Rx)" sheetId="5" r:id="rId4"/>
    <sheet name="Power Sweep, EVM (Rx)" sheetId="18" r:id="rId5"/>
  </sheets>
  <externalReferences>
    <externalReference r:id="rId6"/>
  </externalReferences>
  <definedNames>
    <definedName name="_xlnm._FilterDatabase" localSheetId="1" hidden="1">'Gain Accuracy (Rx)'!$A$1:$AA$99</definedName>
    <definedName name="_xlnm._FilterDatabase" localSheetId="2" hidden="1">'Gain Accuracy_B1V0 (Rx)'!$A$1:$AA$99</definedName>
    <definedName name="_xlnm._FilterDatabase" localSheetId="0" hidden="1">'Linearity (Rx)'!$A$1:$Z$68</definedName>
    <definedName name="_xlnm._FilterDatabase" localSheetId="3" hidden="1">'Total PDC (Rx)'!$A$1:$Z$68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71" i="18" l="1"/>
  <c r="M71" i="18"/>
  <c r="L71" i="18"/>
  <c r="K71" i="18"/>
  <c r="N71" i="18" s="1"/>
  <c r="J71" i="18"/>
  <c r="F71" i="18"/>
  <c r="E71" i="18"/>
  <c r="D71" i="18"/>
  <c r="V70" i="18"/>
  <c r="M70" i="18"/>
  <c r="L70" i="18"/>
  <c r="K70" i="18"/>
  <c r="J70" i="18"/>
  <c r="F70" i="18"/>
  <c r="E70" i="18"/>
  <c r="D70" i="18"/>
  <c r="V69" i="18"/>
  <c r="M69" i="18"/>
  <c r="L69" i="18"/>
  <c r="K69" i="18"/>
  <c r="N69" i="18" s="1"/>
  <c r="J69" i="18"/>
  <c r="F69" i="18"/>
  <c r="E69" i="18"/>
  <c r="D69" i="18"/>
  <c r="V68" i="18"/>
  <c r="M68" i="18"/>
  <c r="L68" i="18"/>
  <c r="K68" i="18"/>
  <c r="N68" i="18" s="1"/>
  <c r="J68" i="18"/>
  <c r="F68" i="18"/>
  <c r="E68" i="18"/>
  <c r="D68" i="18"/>
  <c r="V67" i="18"/>
  <c r="M67" i="18"/>
  <c r="L67" i="18"/>
  <c r="K67" i="18"/>
  <c r="J67" i="18"/>
  <c r="F67" i="18"/>
  <c r="E67" i="18"/>
  <c r="D67" i="18"/>
  <c r="V66" i="18"/>
  <c r="M66" i="18"/>
  <c r="L66" i="18"/>
  <c r="K66" i="18"/>
  <c r="N66" i="18" s="1"/>
  <c r="J66" i="18"/>
  <c r="F66" i="18"/>
  <c r="E66" i="18"/>
  <c r="D66" i="18"/>
  <c r="V65" i="18"/>
  <c r="M65" i="18"/>
  <c r="L65" i="18"/>
  <c r="K65" i="18"/>
  <c r="N65" i="18" s="1"/>
  <c r="J65" i="18"/>
  <c r="F65" i="18"/>
  <c r="E65" i="18"/>
  <c r="D65" i="18"/>
  <c r="V64" i="18"/>
  <c r="M64" i="18"/>
  <c r="L64" i="18"/>
  <c r="K64" i="18"/>
  <c r="J64" i="18"/>
  <c r="F64" i="18"/>
  <c r="E64" i="18"/>
  <c r="D64" i="18"/>
  <c r="V63" i="18"/>
  <c r="M63" i="18"/>
  <c r="L63" i="18"/>
  <c r="K63" i="18"/>
  <c r="N63" i="18" s="1"/>
  <c r="J63" i="18"/>
  <c r="F63" i="18"/>
  <c r="E63" i="18"/>
  <c r="D63" i="18"/>
  <c r="V62" i="18"/>
  <c r="M62" i="18"/>
  <c r="L62" i="18"/>
  <c r="K62" i="18"/>
  <c r="N62" i="18" s="1"/>
  <c r="J62" i="18"/>
  <c r="F62" i="18"/>
  <c r="E62" i="18"/>
  <c r="D62" i="18"/>
  <c r="V61" i="18"/>
  <c r="M61" i="18"/>
  <c r="L61" i="18"/>
  <c r="K61" i="18"/>
  <c r="J61" i="18"/>
  <c r="F61" i="18"/>
  <c r="E61" i="18"/>
  <c r="D61" i="18"/>
  <c r="P61" i="18" s="1"/>
  <c r="V60" i="18"/>
  <c r="M60" i="18"/>
  <c r="L60" i="18"/>
  <c r="K60" i="18"/>
  <c r="J60" i="18"/>
  <c r="F60" i="18"/>
  <c r="E60" i="18"/>
  <c r="D60" i="18"/>
  <c r="V59" i="18"/>
  <c r="M59" i="18"/>
  <c r="L59" i="18"/>
  <c r="K59" i="18"/>
  <c r="N59" i="18" s="1"/>
  <c r="J59" i="18"/>
  <c r="F59" i="18"/>
  <c r="E59" i="18"/>
  <c r="D59" i="18"/>
  <c r="P59" i="18" s="1"/>
  <c r="V58" i="18"/>
  <c r="M58" i="18"/>
  <c r="L58" i="18"/>
  <c r="K58" i="18"/>
  <c r="J58" i="18"/>
  <c r="F58" i="18"/>
  <c r="E58" i="18"/>
  <c r="D58" i="18"/>
  <c r="V57" i="18"/>
  <c r="M57" i="18"/>
  <c r="L57" i="18"/>
  <c r="K57" i="18"/>
  <c r="J57" i="18"/>
  <c r="F57" i="18"/>
  <c r="E57" i="18"/>
  <c r="D57" i="18"/>
  <c r="V56" i="18"/>
  <c r="M56" i="18"/>
  <c r="L56" i="18"/>
  <c r="K56" i="18"/>
  <c r="J56" i="18"/>
  <c r="F56" i="18"/>
  <c r="E56" i="18"/>
  <c r="D56" i="18"/>
  <c r="V55" i="18"/>
  <c r="M55" i="18"/>
  <c r="L55" i="18"/>
  <c r="K55" i="18"/>
  <c r="J55" i="18"/>
  <c r="F55" i="18"/>
  <c r="E55" i="18"/>
  <c r="D55" i="18"/>
  <c r="V54" i="18"/>
  <c r="M54" i="18"/>
  <c r="L54" i="18"/>
  <c r="K54" i="18"/>
  <c r="J54" i="18"/>
  <c r="F54" i="18"/>
  <c r="E54" i="18"/>
  <c r="D54" i="18"/>
  <c r="V53" i="18"/>
  <c r="M53" i="18"/>
  <c r="L53" i="18"/>
  <c r="K53" i="18"/>
  <c r="N53" i="18" s="1"/>
  <c r="J53" i="18"/>
  <c r="F53" i="18"/>
  <c r="E53" i="18"/>
  <c r="D53" i="18"/>
  <c r="V52" i="18"/>
  <c r="M52" i="18"/>
  <c r="L52" i="18"/>
  <c r="K52" i="18"/>
  <c r="J52" i="18"/>
  <c r="F52" i="18"/>
  <c r="E52" i="18"/>
  <c r="D52" i="18"/>
  <c r="V51" i="18"/>
  <c r="M51" i="18"/>
  <c r="L51" i="18"/>
  <c r="K51" i="18"/>
  <c r="N51" i="18" s="1"/>
  <c r="J51" i="18"/>
  <c r="F51" i="18"/>
  <c r="E51" i="18"/>
  <c r="D51" i="18"/>
  <c r="V50" i="18"/>
  <c r="M50" i="18"/>
  <c r="L50" i="18"/>
  <c r="K50" i="18"/>
  <c r="J50" i="18"/>
  <c r="F50" i="18"/>
  <c r="E50" i="18"/>
  <c r="D50" i="18"/>
  <c r="V49" i="18"/>
  <c r="M49" i="18"/>
  <c r="L49" i="18"/>
  <c r="K49" i="18"/>
  <c r="J49" i="18"/>
  <c r="F49" i="18"/>
  <c r="E49" i="18"/>
  <c r="D49" i="18"/>
  <c r="V48" i="18"/>
  <c r="M48" i="18"/>
  <c r="L48" i="18"/>
  <c r="K48" i="18"/>
  <c r="J48" i="18"/>
  <c r="F48" i="18"/>
  <c r="E48" i="18"/>
  <c r="D48" i="18"/>
  <c r="V47" i="18"/>
  <c r="M47" i="18"/>
  <c r="L47" i="18"/>
  <c r="K47" i="18"/>
  <c r="J47" i="18"/>
  <c r="F47" i="18"/>
  <c r="E47" i="18"/>
  <c r="D47" i="18"/>
  <c r="P47" i="18" s="1"/>
  <c r="V46" i="18"/>
  <c r="M46" i="18"/>
  <c r="L46" i="18"/>
  <c r="K46" i="18"/>
  <c r="J46" i="18"/>
  <c r="F46" i="18"/>
  <c r="E46" i="18"/>
  <c r="D46" i="18"/>
  <c r="V45" i="18"/>
  <c r="M45" i="18"/>
  <c r="L45" i="18"/>
  <c r="K45" i="18"/>
  <c r="J45" i="18"/>
  <c r="F45" i="18"/>
  <c r="E45" i="18"/>
  <c r="D45" i="18"/>
  <c r="V44" i="18"/>
  <c r="M44" i="18"/>
  <c r="L44" i="18"/>
  <c r="K44" i="18"/>
  <c r="J44" i="18"/>
  <c r="F44" i="18"/>
  <c r="E44" i="18"/>
  <c r="D44" i="18"/>
  <c r="V43" i="18"/>
  <c r="M43" i="18"/>
  <c r="L43" i="18"/>
  <c r="K43" i="18"/>
  <c r="J43" i="18"/>
  <c r="F43" i="18"/>
  <c r="E43" i="18"/>
  <c r="D43" i="18"/>
  <c r="V42" i="18"/>
  <c r="M42" i="18"/>
  <c r="L42" i="18"/>
  <c r="K42" i="18"/>
  <c r="J42" i="18"/>
  <c r="F42" i="18"/>
  <c r="E42" i="18"/>
  <c r="D42" i="18"/>
  <c r="V41" i="18"/>
  <c r="M41" i="18"/>
  <c r="L41" i="18"/>
  <c r="K41" i="18"/>
  <c r="N41" i="18" s="1"/>
  <c r="J41" i="18"/>
  <c r="F41" i="18"/>
  <c r="E41" i="18"/>
  <c r="D41" i="18"/>
  <c r="V40" i="18"/>
  <c r="M40" i="18"/>
  <c r="L40" i="18"/>
  <c r="K40" i="18"/>
  <c r="J40" i="18"/>
  <c r="F40" i="18"/>
  <c r="E40" i="18"/>
  <c r="D40" i="18"/>
  <c r="V39" i="18"/>
  <c r="M39" i="18"/>
  <c r="L39" i="18"/>
  <c r="K39" i="18"/>
  <c r="N39" i="18" s="1"/>
  <c r="J39" i="18"/>
  <c r="F39" i="18"/>
  <c r="E39" i="18"/>
  <c r="D39" i="18"/>
  <c r="V38" i="18"/>
  <c r="M38" i="18"/>
  <c r="L38" i="18"/>
  <c r="K38" i="18"/>
  <c r="J38" i="18"/>
  <c r="F38" i="18"/>
  <c r="E38" i="18"/>
  <c r="D38" i="18"/>
  <c r="V37" i="18"/>
  <c r="M37" i="18"/>
  <c r="L37" i="18"/>
  <c r="K37" i="18"/>
  <c r="J37" i="18"/>
  <c r="F37" i="18"/>
  <c r="E37" i="18"/>
  <c r="D37" i="18"/>
  <c r="P37" i="18" s="1"/>
  <c r="V36" i="18"/>
  <c r="M36" i="18"/>
  <c r="L36" i="18"/>
  <c r="K36" i="18"/>
  <c r="J36" i="18"/>
  <c r="F36" i="18"/>
  <c r="E36" i="18"/>
  <c r="D36" i="18"/>
  <c r="V35" i="18"/>
  <c r="M35" i="18"/>
  <c r="L35" i="18"/>
  <c r="K35" i="18"/>
  <c r="N35" i="18" s="1"/>
  <c r="J35" i="18"/>
  <c r="F35" i="18"/>
  <c r="E35" i="18"/>
  <c r="D35" i="18"/>
  <c r="P35" i="18" s="1"/>
  <c r="V34" i="18"/>
  <c r="M34" i="18"/>
  <c r="L34" i="18"/>
  <c r="K34" i="18"/>
  <c r="J34" i="18"/>
  <c r="F34" i="18"/>
  <c r="E34" i="18"/>
  <c r="D34" i="18"/>
  <c r="V33" i="18"/>
  <c r="M33" i="18"/>
  <c r="L33" i="18"/>
  <c r="K33" i="18"/>
  <c r="N33" i="18" s="1"/>
  <c r="J33" i="18"/>
  <c r="F33" i="18"/>
  <c r="E33" i="18"/>
  <c r="D33" i="18"/>
  <c r="V32" i="18"/>
  <c r="M32" i="18"/>
  <c r="L32" i="18"/>
  <c r="K32" i="18"/>
  <c r="N32" i="18" s="1"/>
  <c r="J32" i="18"/>
  <c r="F32" i="18"/>
  <c r="E32" i="18"/>
  <c r="D32" i="18"/>
  <c r="V31" i="18"/>
  <c r="M31" i="18"/>
  <c r="L31" i="18"/>
  <c r="K31" i="18"/>
  <c r="J31" i="18"/>
  <c r="F31" i="18"/>
  <c r="E31" i="18"/>
  <c r="D31" i="18"/>
  <c r="V30" i="18"/>
  <c r="M30" i="18"/>
  <c r="L30" i="18"/>
  <c r="K30" i="18"/>
  <c r="J30" i="18"/>
  <c r="F30" i="18"/>
  <c r="E30" i="18"/>
  <c r="P30" i="18" s="1"/>
  <c r="D30" i="18"/>
  <c r="V29" i="18"/>
  <c r="M29" i="18"/>
  <c r="L29" i="18"/>
  <c r="K29" i="18"/>
  <c r="J29" i="18"/>
  <c r="F29" i="18"/>
  <c r="E29" i="18"/>
  <c r="D29" i="18"/>
  <c r="V28" i="18"/>
  <c r="M28" i="18"/>
  <c r="L28" i="18"/>
  <c r="K28" i="18"/>
  <c r="J28" i="18"/>
  <c r="F28" i="18"/>
  <c r="E28" i="18"/>
  <c r="D28" i="18"/>
  <c r="V27" i="18"/>
  <c r="M27" i="18"/>
  <c r="L27" i="18"/>
  <c r="K27" i="18"/>
  <c r="J27" i="18"/>
  <c r="F27" i="18"/>
  <c r="E27" i="18"/>
  <c r="D27" i="18"/>
  <c r="V26" i="18"/>
  <c r="M26" i="18"/>
  <c r="L26" i="18"/>
  <c r="K26" i="18"/>
  <c r="N26" i="18" s="1"/>
  <c r="J26" i="18"/>
  <c r="F26" i="18"/>
  <c r="E26" i="18"/>
  <c r="D26" i="18"/>
  <c r="V25" i="18"/>
  <c r="M25" i="18"/>
  <c r="L25" i="18"/>
  <c r="K25" i="18"/>
  <c r="J25" i="18"/>
  <c r="F25" i="18"/>
  <c r="E25" i="18"/>
  <c r="D25" i="18"/>
  <c r="P25" i="18" s="1"/>
  <c r="V24" i="18"/>
  <c r="M24" i="18"/>
  <c r="L24" i="18"/>
  <c r="K24" i="18"/>
  <c r="J24" i="18"/>
  <c r="F24" i="18"/>
  <c r="E24" i="18"/>
  <c r="D24" i="18"/>
  <c r="V23" i="18"/>
  <c r="M23" i="18"/>
  <c r="L23" i="18"/>
  <c r="K23" i="18"/>
  <c r="N23" i="18" s="1"/>
  <c r="J23" i="18"/>
  <c r="F23" i="18"/>
  <c r="E23" i="18"/>
  <c r="D23" i="18"/>
  <c r="V22" i="18"/>
  <c r="M22" i="18"/>
  <c r="L22" i="18"/>
  <c r="K22" i="18"/>
  <c r="J22" i="18"/>
  <c r="F22" i="18"/>
  <c r="E22" i="18"/>
  <c r="D22" i="18"/>
  <c r="V21" i="18"/>
  <c r="M21" i="18"/>
  <c r="L21" i="18"/>
  <c r="K21" i="18"/>
  <c r="J21" i="18"/>
  <c r="F21" i="18"/>
  <c r="E21" i="18"/>
  <c r="D21" i="18"/>
  <c r="AF21" i="18"/>
  <c r="AD21" i="18"/>
  <c r="AC21" i="18"/>
  <c r="AB21" i="18"/>
  <c r="P60" i="18" l="1"/>
  <c r="N61" i="18"/>
  <c r="N34" i="18"/>
  <c r="P36" i="18"/>
  <c r="N64" i="18"/>
  <c r="P42" i="18"/>
  <c r="N24" i="18"/>
  <c r="P32" i="18"/>
  <c r="P62" i="18"/>
  <c r="AE21" i="18"/>
  <c r="O53" i="18" s="1"/>
  <c r="R53" i="18" s="1"/>
  <c r="P40" i="18"/>
  <c r="P43" i="18"/>
  <c r="P52" i="18"/>
  <c r="N44" i="18"/>
  <c r="N25" i="18"/>
  <c r="N28" i="18"/>
  <c r="N31" i="18"/>
  <c r="N40" i="18"/>
  <c r="N43" i="18"/>
  <c r="N46" i="18"/>
  <c r="O46" i="18" s="1"/>
  <c r="R46" i="18" s="1"/>
  <c r="P51" i="18"/>
  <c r="N52" i="18"/>
  <c r="O52" i="18" s="1"/>
  <c r="R52" i="18" s="1"/>
  <c r="N55" i="18"/>
  <c r="O55" i="18" s="1"/>
  <c r="R55" i="18" s="1"/>
  <c r="P55" i="18"/>
  <c r="N56" i="18"/>
  <c r="P28" i="18"/>
  <c r="N29" i="18"/>
  <c r="N36" i="18"/>
  <c r="P38" i="18"/>
  <c r="P48" i="18"/>
  <c r="N49" i="18"/>
  <c r="P31" i="18"/>
  <c r="N42" i="18"/>
  <c r="N58" i="18"/>
  <c r="O58" i="18" s="1"/>
  <c r="R58" i="18" s="1"/>
  <c r="N38" i="18"/>
  <c r="O38" i="18" s="1"/>
  <c r="R38" i="18" s="1"/>
  <c r="N45" i="18"/>
  <c r="O45" i="18" s="1"/>
  <c r="R45" i="18" s="1"/>
  <c r="N60" i="18"/>
  <c r="N22" i="18"/>
  <c r="P24" i="18"/>
  <c r="P50" i="18"/>
  <c r="P63" i="18"/>
  <c r="N48" i="18"/>
  <c r="N30" i="18"/>
  <c r="N57" i="18"/>
  <c r="O57" i="18" s="1"/>
  <c r="R57" i="18" s="1"/>
  <c r="N67" i="18"/>
  <c r="N21" i="18"/>
  <c r="O21" i="18" s="1"/>
  <c r="R21" i="18" s="1"/>
  <c r="P23" i="18"/>
  <c r="N27" i="18"/>
  <c r="O27" i="18" s="1"/>
  <c r="R27" i="18" s="1"/>
  <c r="N37" i="18"/>
  <c r="N47" i="18"/>
  <c r="P49" i="18"/>
  <c r="N50" i="18"/>
  <c r="N54" i="18"/>
  <c r="O54" i="18" s="1"/>
  <c r="R54" i="18" s="1"/>
  <c r="N70" i="18"/>
  <c r="O70" i="18" s="1"/>
  <c r="R70" i="18" s="1"/>
  <c r="O51" i="18"/>
  <c r="Q51" i="18" s="1"/>
  <c r="O39" i="18"/>
  <c r="R39" i="18" s="1"/>
  <c r="O40" i="18"/>
  <c r="R40" i="18" s="1"/>
  <c r="O31" i="18"/>
  <c r="R31" i="18" s="1"/>
  <c r="O41" i="18"/>
  <c r="R41" i="18" s="1"/>
  <c r="O28" i="18"/>
  <c r="R28" i="18" s="1"/>
  <c r="P27" i="18"/>
  <c r="P39" i="18"/>
  <c r="P26" i="18"/>
  <c r="P64" i="18"/>
  <c r="P29" i="18"/>
  <c r="P41" i="18"/>
  <c r="P53" i="18"/>
  <c r="P65" i="18"/>
  <c r="P54" i="18"/>
  <c r="P66" i="18"/>
  <c r="P67" i="18"/>
  <c r="P44" i="18"/>
  <c r="P56" i="18"/>
  <c r="P68" i="18"/>
  <c r="P21" i="18"/>
  <c r="P33" i="18"/>
  <c r="P45" i="18"/>
  <c r="P57" i="18"/>
  <c r="P69" i="18"/>
  <c r="P22" i="18"/>
  <c r="P34" i="18"/>
  <c r="P46" i="18"/>
  <c r="P58" i="18"/>
  <c r="P70" i="18"/>
  <c r="P71" i="18"/>
  <c r="O67" i="18" l="1"/>
  <c r="R67" i="18" s="1"/>
  <c r="O63" i="18"/>
  <c r="R63" i="18" s="1"/>
  <c r="O35" i="18"/>
  <c r="R35" i="18" s="1"/>
  <c r="O64" i="18"/>
  <c r="R64" i="18" s="1"/>
  <c r="O34" i="18"/>
  <c r="R34" i="18" s="1"/>
  <c r="O68" i="18"/>
  <c r="R68" i="18" s="1"/>
  <c r="O56" i="18"/>
  <c r="R56" i="18" s="1"/>
  <c r="O47" i="18"/>
  <c r="R47" i="18" s="1"/>
  <c r="O22" i="18"/>
  <c r="R22" i="18" s="1"/>
  <c r="O44" i="18"/>
  <c r="R44" i="18" s="1"/>
  <c r="O42" i="18"/>
  <c r="Q42" i="18" s="1"/>
  <c r="O49" i="18"/>
  <c r="R49" i="18" s="1"/>
  <c r="O65" i="18"/>
  <c r="R65" i="18" s="1"/>
  <c r="O36" i="18"/>
  <c r="R36" i="18" s="1"/>
  <c r="O29" i="18"/>
  <c r="R29" i="18" s="1"/>
  <c r="O62" i="18"/>
  <c r="Q62" i="18" s="1"/>
  <c r="O25" i="18"/>
  <c r="R25" i="18" s="1"/>
  <c r="O71" i="18"/>
  <c r="R71" i="18" s="1"/>
  <c r="O37" i="18"/>
  <c r="Q37" i="18" s="1"/>
  <c r="O60" i="18"/>
  <c r="R60" i="18" s="1"/>
  <c r="Q71" i="18"/>
  <c r="R62" i="18"/>
  <c r="Q63" i="18"/>
  <c r="O66" i="18"/>
  <c r="R66" i="18" s="1"/>
  <c r="O26" i="18"/>
  <c r="R26" i="18" s="1"/>
  <c r="O61" i="18"/>
  <c r="R61" i="18" s="1"/>
  <c r="O30" i="18"/>
  <c r="Q30" i="18" s="1"/>
  <c r="O23" i="18"/>
  <c r="R23" i="18" s="1"/>
  <c r="O69" i="18"/>
  <c r="R69" i="18" s="1"/>
  <c r="O32" i="18"/>
  <c r="O59" i="18"/>
  <c r="R59" i="18" s="1"/>
  <c r="O43" i="18"/>
  <c r="R43" i="18" s="1"/>
  <c r="O48" i="18"/>
  <c r="R48" i="18" s="1"/>
  <c r="Q53" i="18"/>
  <c r="O50" i="18"/>
  <c r="R50" i="18" s="1"/>
  <c r="R51" i="18"/>
  <c r="O33" i="18"/>
  <c r="R33" i="18" s="1"/>
  <c r="Q26" i="18"/>
  <c r="O24" i="18"/>
  <c r="R24" i="18" s="1"/>
  <c r="R37" i="18"/>
  <c r="Q22" i="18"/>
  <c r="Q67" i="18"/>
  <c r="Q52" i="18"/>
  <c r="Q38" i="18"/>
  <c r="Q57" i="18"/>
  <c r="Q70" i="18"/>
  <c r="Q54" i="18"/>
  <c r="Q64" i="18"/>
  <c r="Q45" i="18"/>
  <c r="Q58" i="18"/>
  <c r="Q39" i="18"/>
  <c r="Q34" i="18"/>
  <c r="Q56" i="18"/>
  <c r="Q41" i="18"/>
  <c r="Q27" i="18"/>
  <c r="Q21" i="18"/>
  <c r="Q65" i="18"/>
  <c r="Q59" i="18"/>
  <c r="Q31" i="18"/>
  <c r="Q28" i="18"/>
  <c r="Q55" i="18"/>
  <c r="Q36" i="18"/>
  <c r="Q46" i="18"/>
  <c r="Q40" i="18"/>
  <c r="R42" i="18" l="1"/>
  <c r="Q47" i="18"/>
  <c r="Q49" i="18"/>
  <c r="Q60" i="18"/>
  <c r="Q68" i="18"/>
  <c r="Q44" i="18"/>
  <c r="Q48" i="18"/>
  <c r="Q25" i="18"/>
  <c r="Q35" i="18"/>
  <c r="Q29" i="18"/>
  <c r="Q66" i="18"/>
  <c r="R30" i="18"/>
  <c r="Q33" i="18"/>
  <c r="Q50" i="18"/>
  <c r="Q24" i="18"/>
  <c r="Q23" i="18"/>
  <c r="Q69" i="18"/>
  <c r="Q61" i="18"/>
  <c r="R32" i="18"/>
  <c r="Q32" i="18"/>
  <c r="Q43" i="18"/>
  <c r="F68" i="7" l="1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68" i="7"/>
  <c r="AB100" i="7"/>
  <c r="F68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68" i="6"/>
  <c r="AB100" i="6"/>
  <c r="Z100" i="7"/>
  <c r="W100" i="7"/>
  <c r="T100" i="7"/>
  <c r="N100" i="7"/>
  <c r="Z99" i="7"/>
  <c r="W99" i="7"/>
  <c r="T99" i="7"/>
  <c r="N99" i="7"/>
  <c r="Z98" i="7"/>
  <c r="W98" i="7"/>
  <c r="T98" i="7"/>
  <c r="N98" i="7"/>
  <c r="Z97" i="7"/>
  <c r="W97" i="7"/>
  <c r="T97" i="7"/>
  <c r="N97" i="7"/>
  <c r="AA97" i="7" s="1"/>
  <c r="AB97" i="7" s="1"/>
  <c r="Z96" i="7"/>
  <c r="W96" i="7"/>
  <c r="T96" i="7"/>
  <c r="N96" i="7"/>
  <c r="Z95" i="7"/>
  <c r="W95" i="7"/>
  <c r="T95" i="7"/>
  <c r="N95" i="7"/>
  <c r="AA95" i="7" s="1"/>
  <c r="AB95" i="7" s="1"/>
  <c r="Z94" i="7"/>
  <c r="W94" i="7"/>
  <c r="T94" i="7"/>
  <c r="N94" i="7"/>
  <c r="Z93" i="7"/>
  <c r="W93" i="7"/>
  <c r="T93" i="7"/>
  <c r="N93" i="7"/>
  <c r="AA93" i="7" s="1"/>
  <c r="AB93" i="7" s="1"/>
  <c r="Z92" i="7"/>
  <c r="W92" i="7"/>
  <c r="T92" i="7"/>
  <c r="N92" i="7"/>
  <c r="AA92" i="7" s="1"/>
  <c r="AB92" i="7" s="1"/>
  <c r="Z91" i="7"/>
  <c r="W91" i="7"/>
  <c r="T91" i="7"/>
  <c r="N91" i="7"/>
  <c r="AA91" i="7" s="1"/>
  <c r="AB91" i="7" s="1"/>
  <c r="Z90" i="7"/>
  <c r="W90" i="7"/>
  <c r="T90" i="7"/>
  <c r="N90" i="7"/>
  <c r="Z89" i="7"/>
  <c r="W89" i="7"/>
  <c r="T89" i="7"/>
  <c r="N89" i="7"/>
  <c r="Z88" i="7"/>
  <c r="W88" i="7"/>
  <c r="T88" i="7"/>
  <c r="N88" i="7"/>
  <c r="Z87" i="7"/>
  <c r="W87" i="7"/>
  <c r="T87" i="7"/>
  <c r="N87" i="7"/>
  <c r="Z86" i="7"/>
  <c r="W86" i="7"/>
  <c r="T86" i="7"/>
  <c r="N86" i="7"/>
  <c r="AA86" i="7" s="1"/>
  <c r="AB86" i="7" s="1"/>
  <c r="Z85" i="7"/>
  <c r="W85" i="7"/>
  <c r="T85" i="7"/>
  <c r="N85" i="7"/>
  <c r="Z84" i="7"/>
  <c r="W84" i="7"/>
  <c r="T84" i="7"/>
  <c r="N84" i="7"/>
  <c r="AA84" i="7" s="1"/>
  <c r="AB84" i="7" s="1"/>
  <c r="Z83" i="7"/>
  <c r="W83" i="7"/>
  <c r="T83" i="7"/>
  <c r="N83" i="7"/>
  <c r="AA83" i="7" s="1"/>
  <c r="AB83" i="7" s="1"/>
  <c r="Z82" i="7"/>
  <c r="W82" i="7"/>
  <c r="T82" i="7"/>
  <c r="N82" i="7"/>
  <c r="AA82" i="7" s="1"/>
  <c r="AB82" i="7" s="1"/>
  <c r="Z81" i="7"/>
  <c r="W81" i="7"/>
  <c r="T81" i="7"/>
  <c r="N81" i="7"/>
  <c r="Z80" i="7"/>
  <c r="W80" i="7"/>
  <c r="T80" i="7"/>
  <c r="N80" i="7"/>
  <c r="Z79" i="7"/>
  <c r="W79" i="7"/>
  <c r="T79" i="7"/>
  <c r="N79" i="7"/>
  <c r="AA79" i="7" s="1"/>
  <c r="AB79" i="7" s="1"/>
  <c r="Z78" i="7"/>
  <c r="W78" i="7"/>
  <c r="T78" i="7"/>
  <c r="N78" i="7"/>
  <c r="Z77" i="7"/>
  <c r="W77" i="7"/>
  <c r="T77" i="7"/>
  <c r="N77" i="7"/>
  <c r="Z76" i="7"/>
  <c r="W76" i="7"/>
  <c r="T76" i="7"/>
  <c r="N76" i="7"/>
  <c r="Z75" i="7"/>
  <c r="W75" i="7"/>
  <c r="T75" i="7"/>
  <c r="N75" i="7"/>
  <c r="AA75" i="7" s="1"/>
  <c r="AB75" i="7" s="1"/>
  <c r="Z74" i="7"/>
  <c r="W74" i="7"/>
  <c r="T74" i="7"/>
  <c r="N74" i="7"/>
  <c r="AA74" i="7" s="1"/>
  <c r="AB74" i="7" s="1"/>
  <c r="Z73" i="7"/>
  <c r="W73" i="7"/>
  <c r="T73" i="7"/>
  <c r="N73" i="7"/>
  <c r="Z72" i="7"/>
  <c r="W72" i="7"/>
  <c r="T72" i="7"/>
  <c r="N72" i="7"/>
  <c r="Z71" i="7"/>
  <c r="W71" i="7"/>
  <c r="T71" i="7"/>
  <c r="N71" i="7"/>
  <c r="Z70" i="7"/>
  <c r="W70" i="7"/>
  <c r="T70" i="7"/>
  <c r="N70" i="7"/>
  <c r="AA70" i="7" s="1"/>
  <c r="AB70" i="7" s="1"/>
  <c r="F70" i="7"/>
  <c r="F71" i="7" s="1"/>
  <c r="F72" i="7" s="1"/>
  <c r="F73" i="7" s="1"/>
  <c r="F74" i="7" s="1"/>
  <c r="F75" i="7" s="1"/>
  <c r="F76" i="7" s="1"/>
  <c r="F77" i="7" s="1"/>
  <c r="F78" i="7" s="1"/>
  <c r="F79" i="7" s="1"/>
  <c r="F80" i="7" s="1"/>
  <c r="F81" i="7" s="1"/>
  <c r="F82" i="7" s="1"/>
  <c r="F83" i="7" s="1"/>
  <c r="F84" i="7" s="1"/>
  <c r="F85" i="7" s="1"/>
  <c r="F86" i="7" s="1"/>
  <c r="F87" i="7" s="1"/>
  <c r="F88" i="7" s="1"/>
  <c r="F89" i="7" s="1"/>
  <c r="F90" i="7" s="1"/>
  <c r="F91" i="7" s="1"/>
  <c r="F92" i="7" s="1"/>
  <c r="F93" i="7" s="1"/>
  <c r="F94" i="7" s="1"/>
  <c r="F95" i="7" s="1"/>
  <c r="F96" i="7" s="1"/>
  <c r="F97" i="7" s="1"/>
  <c r="F98" i="7" s="1"/>
  <c r="F99" i="7" s="1"/>
  <c r="F100" i="7" s="1"/>
  <c r="Z69" i="7"/>
  <c r="W69" i="7"/>
  <c r="T69" i="7"/>
  <c r="N69" i="7"/>
  <c r="F69" i="7"/>
  <c r="AH68" i="7"/>
  <c r="Z68" i="7"/>
  <c r="W68" i="7"/>
  <c r="T68" i="7"/>
  <c r="N68" i="7"/>
  <c r="AB67" i="7"/>
  <c r="Z66" i="7"/>
  <c r="W66" i="7"/>
  <c r="T66" i="7"/>
  <c r="Q66" i="7"/>
  <c r="N66" i="7"/>
  <c r="D66" i="7"/>
  <c r="Z65" i="7"/>
  <c r="W65" i="7"/>
  <c r="T65" i="7"/>
  <c r="Q65" i="7"/>
  <c r="N65" i="7"/>
  <c r="D65" i="7"/>
  <c r="Z64" i="7"/>
  <c r="W64" i="7"/>
  <c r="T64" i="7"/>
  <c r="Q64" i="7"/>
  <c r="N64" i="7"/>
  <c r="D64" i="7"/>
  <c r="Z63" i="7"/>
  <c r="W63" i="7"/>
  <c r="T63" i="7"/>
  <c r="Q63" i="7"/>
  <c r="N63" i="7"/>
  <c r="D63" i="7"/>
  <c r="Z62" i="7"/>
  <c r="W62" i="7"/>
  <c r="T62" i="7"/>
  <c r="Q62" i="7"/>
  <c r="N62" i="7"/>
  <c r="D62" i="7"/>
  <c r="Z61" i="7"/>
  <c r="W61" i="7"/>
  <c r="T61" i="7"/>
  <c r="Q61" i="7"/>
  <c r="N61" i="7"/>
  <c r="D61" i="7"/>
  <c r="Z60" i="7"/>
  <c r="W60" i="7"/>
  <c r="T60" i="7"/>
  <c r="Q60" i="7"/>
  <c r="N60" i="7"/>
  <c r="D60" i="7"/>
  <c r="Z59" i="7"/>
  <c r="W59" i="7"/>
  <c r="T59" i="7"/>
  <c r="Q59" i="7"/>
  <c r="N59" i="7"/>
  <c r="D59" i="7"/>
  <c r="Z58" i="7"/>
  <c r="W58" i="7"/>
  <c r="T58" i="7"/>
  <c r="Q58" i="7"/>
  <c r="N58" i="7"/>
  <c r="D58" i="7"/>
  <c r="Z57" i="7"/>
  <c r="W57" i="7"/>
  <c r="T57" i="7"/>
  <c r="Q57" i="7"/>
  <c r="N57" i="7"/>
  <c r="D57" i="7"/>
  <c r="Z56" i="7"/>
  <c r="W56" i="7"/>
  <c r="T56" i="7"/>
  <c r="Q56" i="7"/>
  <c r="N56" i="7"/>
  <c r="D56" i="7"/>
  <c r="Z55" i="7"/>
  <c r="W55" i="7"/>
  <c r="T55" i="7"/>
  <c r="Q55" i="7"/>
  <c r="N55" i="7"/>
  <c r="D55" i="7"/>
  <c r="Z54" i="7"/>
  <c r="W54" i="7"/>
  <c r="T54" i="7"/>
  <c r="Q54" i="7"/>
  <c r="N54" i="7"/>
  <c r="D54" i="7"/>
  <c r="Z53" i="7"/>
  <c r="W53" i="7"/>
  <c r="T53" i="7"/>
  <c r="Q53" i="7"/>
  <c r="N53" i="7"/>
  <c r="D53" i="7"/>
  <c r="Z52" i="7"/>
  <c r="W52" i="7"/>
  <c r="T52" i="7"/>
  <c r="Q52" i="7"/>
  <c r="N52" i="7"/>
  <c r="D52" i="7"/>
  <c r="Z51" i="7"/>
  <c r="W51" i="7"/>
  <c r="T51" i="7"/>
  <c r="Q51" i="7"/>
  <c r="N51" i="7"/>
  <c r="D51" i="7"/>
  <c r="Z50" i="7"/>
  <c r="W50" i="7"/>
  <c r="T50" i="7"/>
  <c r="Q50" i="7"/>
  <c r="N50" i="7"/>
  <c r="D50" i="7"/>
  <c r="Z49" i="7"/>
  <c r="W49" i="7"/>
  <c r="T49" i="7"/>
  <c r="Q49" i="7"/>
  <c r="N49" i="7"/>
  <c r="D49" i="7"/>
  <c r="Z48" i="7"/>
  <c r="W48" i="7"/>
  <c r="T48" i="7"/>
  <c r="Q48" i="7"/>
  <c r="N48" i="7"/>
  <c r="D48" i="7"/>
  <c r="Z47" i="7"/>
  <c r="W47" i="7"/>
  <c r="T47" i="7"/>
  <c r="Q47" i="7"/>
  <c r="N47" i="7"/>
  <c r="D47" i="7"/>
  <c r="Z46" i="7"/>
  <c r="W46" i="7"/>
  <c r="T46" i="7"/>
  <c r="Q46" i="7"/>
  <c r="N46" i="7"/>
  <c r="D46" i="7"/>
  <c r="Z45" i="7"/>
  <c r="W45" i="7"/>
  <c r="T45" i="7"/>
  <c r="Q45" i="7"/>
  <c r="N45" i="7"/>
  <c r="D45" i="7"/>
  <c r="Z44" i="7"/>
  <c r="W44" i="7"/>
  <c r="T44" i="7"/>
  <c r="Q44" i="7"/>
  <c r="N44" i="7"/>
  <c r="D44" i="7"/>
  <c r="Z43" i="7"/>
  <c r="W43" i="7"/>
  <c r="T43" i="7"/>
  <c r="Q43" i="7"/>
  <c r="N43" i="7"/>
  <c r="D43" i="7"/>
  <c r="Z42" i="7"/>
  <c r="W42" i="7"/>
  <c r="T42" i="7"/>
  <c r="Q42" i="7"/>
  <c r="N42" i="7"/>
  <c r="D42" i="7"/>
  <c r="Z41" i="7"/>
  <c r="W41" i="7"/>
  <c r="T41" i="7"/>
  <c r="Q41" i="7"/>
  <c r="N41" i="7"/>
  <c r="D41" i="7"/>
  <c r="Z40" i="7"/>
  <c r="W40" i="7"/>
  <c r="T40" i="7"/>
  <c r="Q40" i="7"/>
  <c r="N40" i="7"/>
  <c r="D40" i="7"/>
  <c r="Z39" i="7"/>
  <c r="W39" i="7"/>
  <c r="T39" i="7"/>
  <c r="Q39" i="7"/>
  <c r="N39" i="7"/>
  <c r="D39" i="7"/>
  <c r="Z38" i="7"/>
  <c r="W38" i="7"/>
  <c r="T38" i="7"/>
  <c r="Q38" i="7"/>
  <c r="N38" i="7"/>
  <c r="D38" i="7"/>
  <c r="Z37" i="7"/>
  <c r="W37" i="7"/>
  <c r="T37" i="7"/>
  <c r="Q37" i="7"/>
  <c r="N37" i="7"/>
  <c r="D37" i="7"/>
  <c r="Z36" i="7"/>
  <c r="W36" i="7"/>
  <c r="T36" i="7"/>
  <c r="Q36" i="7"/>
  <c r="N36" i="7"/>
  <c r="D36" i="7"/>
  <c r="Z35" i="7"/>
  <c r="W35" i="7"/>
  <c r="T35" i="7"/>
  <c r="Q35" i="7"/>
  <c r="N35" i="7"/>
  <c r="D35" i="7"/>
  <c r="Z34" i="7"/>
  <c r="W34" i="7"/>
  <c r="T34" i="7"/>
  <c r="Q34" i="7"/>
  <c r="N34" i="7"/>
  <c r="D34" i="7"/>
  <c r="Z33" i="7"/>
  <c r="W33" i="7"/>
  <c r="T33" i="7"/>
  <c r="Q33" i="7"/>
  <c r="N33" i="7"/>
  <c r="D33" i="7"/>
  <c r="Z32" i="7"/>
  <c r="W32" i="7"/>
  <c r="T32" i="7"/>
  <c r="Q32" i="7"/>
  <c r="N32" i="7"/>
  <c r="D32" i="7"/>
  <c r="Z31" i="7"/>
  <c r="W31" i="7"/>
  <c r="T31" i="7"/>
  <c r="Q31" i="7"/>
  <c r="N31" i="7"/>
  <c r="D31" i="7"/>
  <c r="Z30" i="7"/>
  <c r="W30" i="7"/>
  <c r="T30" i="7"/>
  <c r="Q30" i="7"/>
  <c r="N30" i="7"/>
  <c r="D30" i="7"/>
  <c r="Z29" i="7"/>
  <c r="W29" i="7"/>
  <c r="T29" i="7"/>
  <c r="Q29" i="7"/>
  <c r="N29" i="7"/>
  <c r="D29" i="7"/>
  <c r="Z28" i="7"/>
  <c r="W28" i="7"/>
  <c r="T28" i="7"/>
  <c r="Q28" i="7"/>
  <c r="N28" i="7"/>
  <c r="D28" i="7"/>
  <c r="Z27" i="7"/>
  <c r="W27" i="7"/>
  <c r="T27" i="7"/>
  <c r="Q27" i="7"/>
  <c r="N27" i="7"/>
  <c r="D27" i="7"/>
  <c r="Z26" i="7"/>
  <c r="W26" i="7"/>
  <c r="T26" i="7"/>
  <c r="Q26" i="7"/>
  <c r="N26" i="7"/>
  <c r="D26" i="7"/>
  <c r="Z25" i="7"/>
  <c r="W25" i="7"/>
  <c r="T25" i="7"/>
  <c r="Q25" i="7"/>
  <c r="N25" i="7"/>
  <c r="D25" i="7"/>
  <c r="Z24" i="7"/>
  <c r="W24" i="7"/>
  <c r="T24" i="7"/>
  <c r="Q24" i="7"/>
  <c r="N24" i="7"/>
  <c r="D24" i="7"/>
  <c r="Z23" i="7"/>
  <c r="W23" i="7"/>
  <c r="T23" i="7"/>
  <c r="Q23" i="7"/>
  <c r="N23" i="7"/>
  <c r="D23" i="7"/>
  <c r="Z22" i="7"/>
  <c r="W22" i="7"/>
  <c r="T22" i="7"/>
  <c r="Q22" i="7"/>
  <c r="N22" i="7"/>
  <c r="D22" i="7"/>
  <c r="Z21" i="7"/>
  <c r="W21" i="7"/>
  <c r="T21" i="7"/>
  <c r="Q21" i="7"/>
  <c r="N21" i="7"/>
  <c r="D21" i="7"/>
  <c r="Z20" i="7"/>
  <c r="W20" i="7"/>
  <c r="T20" i="7"/>
  <c r="Q20" i="7"/>
  <c r="N20" i="7"/>
  <c r="D20" i="7"/>
  <c r="Z19" i="7"/>
  <c r="W19" i="7"/>
  <c r="T19" i="7"/>
  <c r="Q19" i="7"/>
  <c r="N19" i="7"/>
  <c r="D19" i="7"/>
  <c r="Z18" i="7"/>
  <c r="W18" i="7"/>
  <c r="T18" i="7"/>
  <c r="Q18" i="7"/>
  <c r="N18" i="7"/>
  <c r="D18" i="7"/>
  <c r="Z17" i="7"/>
  <c r="W17" i="7"/>
  <c r="T17" i="7"/>
  <c r="Q17" i="7"/>
  <c r="N17" i="7"/>
  <c r="D17" i="7"/>
  <c r="Z16" i="7"/>
  <c r="W16" i="7"/>
  <c r="T16" i="7"/>
  <c r="Q16" i="7"/>
  <c r="N16" i="7"/>
  <c r="D16" i="7"/>
  <c r="Z15" i="7"/>
  <c r="W15" i="7"/>
  <c r="T15" i="7"/>
  <c r="Q15" i="7"/>
  <c r="N15" i="7"/>
  <c r="D15" i="7"/>
  <c r="Z14" i="7"/>
  <c r="W14" i="7"/>
  <c r="T14" i="7"/>
  <c r="Q14" i="7"/>
  <c r="N14" i="7"/>
  <c r="D14" i="7"/>
  <c r="Z13" i="7"/>
  <c r="W13" i="7"/>
  <c r="T13" i="7"/>
  <c r="Q13" i="7"/>
  <c r="N13" i="7"/>
  <c r="D13" i="7"/>
  <c r="Z12" i="7"/>
  <c r="W12" i="7"/>
  <c r="T12" i="7"/>
  <c r="Q12" i="7"/>
  <c r="N12" i="7"/>
  <c r="D12" i="7"/>
  <c r="Z11" i="7"/>
  <c r="W11" i="7"/>
  <c r="T11" i="7"/>
  <c r="Q11" i="7"/>
  <c r="N11" i="7"/>
  <c r="D11" i="7"/>
  <c r="Z10" i="7"/>
  <c r="W10" i="7"/>
  <c r="T10" i="7"/>
  <c r="Q10" i="7"/>
  <c r="N10" i="7"/>
  <c r="D10" i="7"/>
  <c r="Z9" i="7"/>
  <c r="W9" i="7"/>
  <c r="T9" i="7"/>
  <c r="Q9" i="7"/>
  <c r="N9" i="7"/>
  <c r="D9" i="7"/>
  <c r="Z8" i="7"/>
  <c r="W8" i="7"/>
  <c r="T8" i="7"/>
  <c r="Q8" i="7"/>
  <c r="N8" i="7"/>
  <c r="D8" i="7"/>
  <c r="Z7" i="7"/>
  <c r="W7" i="7"/>
  <c r="T7" i="7"/>
  <c r="Q7" i="7"/>
  <c r="N7" i="7"/>
  <c r="D7" i="7"/>
  <c r="Z6" i="7"/>
  <c r="W6" i="7"/>
  <c r="T6" i="7"/>
  <c r="Q6" i="7"/>
  <c r="N6" i="7"/>
  <c r="D6" i="7"/>
  <c r="Z5" i="7"/>
  <c r="W5" i="7"/>
  <c r="T5" i="7"/>
  <c r="Q5" i="7"/>
  <c r="N5" i="7"/>
  <c r="D5" i="7"/>
  <c r="AH4" i="7"/>
  <c r="Z4" i="7"/>
  <c r="W4" i="7"/>
  <c r="T4" i="7"/>
  <c r="Q4" i="7"/>
  <c r="N4" i="7"/>
  <c r="D4" i="7"/>
  <c r="Z3" i="7"/>
  <c r="W3" i="7"/>
  <c r="T3" i="7"/>
  <c r="Q3" i="7"/>
  <c r="N3" i="7"/>
  <c r="F3" i="7"/>
  <c r="D3" i="7"/>
  <c r="F3" i="6"/>
  <c r="F4" i="6" s="1"/>
  <c r="F5" i="6" s="1"/>
  <c r="F6" i="6" s="1"/>
  <c r="F7" i="6" s="1"/>
  <c r="F8" i="6" s="1"/>
  <c r="F9" i="6" s="1"/>
  <c r="F10" i="6" s="1"/>
  <c r="F11" i="6" s="1"/>
  <c r="F12" i="6" s="1"/>
  <c r="F13" i="6" s="1"/>
  <c r="F14" i="6" s="1"/>
  <c r="F15" i="6" s="1"/>
  <c r="F16" i="6" s="1"/>
  <c r="F17" i="6" s="1"/>
  <c r="F18" i="6" s="1"/>
  <c r="F19" i="6" s="1"/>
  <c r="F20" i="6" s="1"/>
  <c r="F21" i="6" s="1"/>
  <c r="F22" i="6" s="1"/>
  <c r="F23" i="6" s="1"/>
  <c r="F24" i="6" s="1"/>
  <c r="F25" i="6" s="1"/>
  <c r="F26" i="6" s="1"/>
  <c r="F27" i="6" s="1"/>
  <c r="F28" i="6" s="1"/>
  <c r="F29" i="6" s="1"/>
  <c r="F30" i="6" s="1"/>
  <c r="F31" i="6" s="1"/>
  <c r="F32" i="6" s="1"/>
  <c r="F33" i="6" s="1"/>
  <c r="F34" i="6" s="1"/>
  <c r="F35" i="6" s="1"/>
  <c r="F36" i="6" s="1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AH3" i="6" s="1"/>
  <c r="D4" i="6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1" i="6"/>
  <c r="D32" i="6"/>
  <c r="D33" i="6"/>
  <c r="D34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3" i="6"/>
  <c r="Z100" i="6"/>
  <c r="W100" i="6"/>
  <c r="T100" i="6"/>
  <c r="N100" i="6"/>
  <c r="Z99" i="6"/>
  <c r="W99" i="6"/>
  <c r="T99" i="6"/>
  <c r="N99" i="6"/>
  <c r="Z98" i="6"/>
  <c r="W98" i="6"/>
  <c r="T98" i="6"/>
  <c r="AA98" i="6" s="1"/>
  <c r="AB98" i="6" s="1"/>
  <c r="N98" i="6"/>
  <c r="Z97" i="6"/>
  <c r="W97" i="6"/>
  <c r="T97" i="6"/>
  <c r="N97" i="6"/>
  <c r="AA97" i="6" s="1"/>
  <c r="AB97" i="6" s="1"/>
  <c r="Z96" i="6"/>
  <c r="W96" i="6"/>
  <c r="T96" i="6"/>
  <c r="N96" i="6"/>
  <c r="AA96" i="6" s="1"/>
  <c r="AB96" i="6" s="1"/>
  <c r="Z95" i="6"/>
  <c r="W95" i="6"/>
  <c r="T95" i="6"/>
  <c r="N95" i="6"/>
  <c r="Z94" i="6"/>
  <c r="W94" i="6"/>
  <c r="T94" i="6"/>
  <c r="N94" i="6"/>
  <c r="Z93" i="6"/>
  <c r="W93" i="6"/>
  <c r="T93" i="6"/>
  <c r="N93" i="6"/>
  <c r="Z92" i="6"/>
  <c r="W92" i="6"/>
  <c r="T92" i="6"/>
  <c r="N92" i="6"/>
  <c r="AA92" i="6" s="1"/>
  <c r="AB92" i="6" s="1"/>
  <c r="Z91" i="6"/>
  <c r="W91" i="6"/>
  <c r="T91" i="6"/>
  <c r="N91" i="6"/>
  <c r="Z90" i="6"/>
  <c r="W90" i="6"/>
  <c r="T90" i="6"/>
  <c r="N90" i="6"/>
  <c r="Z89" i="6"/>
  <c r="W89" i="6"/>
  <c r="T89" i="6"/>
  <c r="AA89" i="6" s="1"/>
  <c r="AB89" i="6" s="1"/>
  <c r="N89" i="6"/>
  <c r="Z88" i="6"/>
  <c r="W88" i="6"/>
  <c r="T88" i="6"/>
  <c r="N88" i="6"/>
  <c r="AA88" i="6" s="1"/>
  <c r="AB88" i="6" s="1"/>
  <c r="Z87" i="6"/>
  <c r="W87" i="6"/>
  <c r="T87" i="6"/>
  <c r="N87" i="6"/>
  <c r="AA87" i="6" s="1"/>
  <c r="AB87" i="6" s="1"/>
  <c r="Z86" i="6"/>
  <c r="W86" i="6"/>
  <c r="T86" i="6"/>
  <c r="N86" i="6"/>
  <c r="Z85" i="6"/>
  <c r="W85" i="6"/>
  <c r="T85" i="6"/>
  <c r="N85" i="6"/>
  <c r="Z84" i="6"/>
  <c r="W84" i="6"/>
  <c r="T84" i="6"/>
  <c r="N84" i="6"/>
  <c r="Z83" i="6"/>
  <c r="W83" i="6"/>
  <c r="T83" i="6"/>
  <c r="N83" i="6"/>
  <c r="AA83" i="6" s="1"/>
  <c r="AB83" i="6" s="1"/>
  <c r="Z82" i="6"/>
  <c r="W82" i="6"/>
  <c r="T82" i="6"/>
  <c r="N82" i="6"/>
  <c r="Z81" i="6"/>
  <c r="W81" i="6"/>
  <c r="T81" i="6"/>
  <c r="N81" i="6"/>
  <c r="AA81" i="6" s="1"/>
  <c r="AB81" i="6" s="1"/>
  <c r="Z80" i="6"/>
  <c r="W80" i="6"/>
  <c r="T80" i="6"/>
  <c r="N80" i="6"/>
  <c r="Z79" i="6"/>
  <c r="W79" i="6"/>
  <c r="T79" i="6"/>
  <c r="N79" i="6"/>
  <c r="AA79" i="6" s="1"/>
  <c r="AB79" i="6" s="1"/>
  <c r="Z78" i="6"/>
  <c r="W78" i="6"/>
  <c r="T78" i="6"/>
  <c r="N78" i="6"/>
  <c r="AA78" i="6" s="1"/>
  <c r="AB78" i="6" s="1"/>
  <c r="Z77" i="6"/>
  <c r="W77" i="6"/>
  <c r="T77" i="6"/>
  <c r="N77" i="6"/>
  <c r="Z76" i="6"/>
  <c r="W76" i="6"/>
  <c r="T76" i="6"/>
  <c r="N76" i="6"/>
  <c r="Z75" i="6"/>
  <c r="W75" i="6"/>
  <c r="T75" i="6"/>
  <c r="N75" i="6"/>
  <c r="Z74" i="6"/>
  <c r="W74" i="6"/>
  <c r="T74" i="6"/>
  <c r="N74" i="6"/>
  <c r="AA74" i="6" s="1"/>
  <c r="AB74" i="6" s="1"/>
  <c r="F74" i="6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F89" i="6" s="1"/>
  <c r="F90" i="6" s="1"/>
  <c r="F91" i="6" s="1"/>
  <c r="F92" i="6" s="1"/>
  <c r="F93" i="6" s="1"/>
  <c r="F94" i="6" s="1"/>
  <c r="F95" i="6" s="1"/>
  <c r="F96" i="6" s="1"/>
  <c r="F97" i="6" s="1"/>
  <c r="F98" i="6" s="1"/>
  <c r="F99" i="6" s="1"/>
  <c r="F100" i="6" s="1"/>
  <c r="Z73" i="6"/>
  <c r="W73" i="6"/>
  <c r="T73" i="6"/>
  <c r="N73" i="6"/>
  <c r="Z72" i="6"/>
  <c r="W72" i="6"/>
  <c r="T72" i="6"/>
  <c r="N72" i="6"/>
  <c r="Z71" i="6"/>
  <c r="W71" i="6"/>
  <c r="T71" i="6"/>
  <c r="N71" i="6"/>
  <c r="Z70" i="6"/>
  <c r="W70" i="6"/>
  <c r="T70" i="6"/>
  <c r="N70" i="6"/>
  <c r="AA70" i="6" s="1"/>
  <c r="AB70" i="6" s="1"/>
  <c r="F70" i="6"/>
  <c r="F71" i="6" s="1"/>
  <c r="F72" i="6" s="1"/>
  <c r="F73" i="6" s="1"/>
  <c r="Z69" i="6"/>
  <c r="W69" i="6"/>
  <c r="T69" i="6"/>
  <c r="N69" i="6"/>
  <c r="F69" i="6"/>
  <c r="AH68" i="6"/>
  <c r="Z68" i="6"/>
  <c r="W68" i="6"/>
  <c r="T68" i="6"/>
  <c r="N68" i="6"/>
  <c r="AB67" i="6"/>
  <c r="Z66" i="6"/>
  <c r="W66" i="6"/>
  <c r="T66" i="6"/>
  <c r="Q66" i="6"/>
  <c r="N66" i="6"/>
  <c r="Z65" i="6"/>
  <c r="W65" i="6"/>
  <c r="T65" i="6"/>
  <c r="Q65" i="6"/>
  <c r="N65" i="6"/>
  <c r="Z64" i="6"/>
  <c r="W64" i="6"/>
  <c r="T64" i="6"/>
  <c r="Q64" i="6"/>
  <c r="N64" i="6"/>
  <c r="Z63" i="6"/>
  <c r="W63" i="6"/>
  <c r="T63" i="6"/>
  <c r="Q63" i="6"/>
  <c r="N63" i="6"/>
  <c r="Z62" i="6"/>
  <c r="W62" i="6"/>
  <c r="T62" i="6"/>
  <c r="Q62" i="6"/>
  <c r="N62" i="6"/>
  <c r="AA62" i="6" s="1"/>
  <c r="AB62" i="6" s="1"/>
  <c r="Z61" i="6"/>
  <c r="W61" i="6"/>
  <c r="T61" i="6"/>
  <c r="Q61" i="6"/>
  <c r="N61" i="6"/>
  <c r="Z60" i="6"/>
  <c r="W60" i="6"/>
  <c r="T60" i="6"/>
  <c r="Q60" i="6"/>
  <c r="N60" i="6"/>
  <c r="Z59" i="6"/>
  <c r="W59" i="6"/>
  <c r="T59" i="6"/>
  <c r="Q59" i="6"/>
  <c r="N59" i="6"/>
  <c r="AA59" i="6" s="1"/>
  <c r="AB59" i="6" s="1"/>
  <c r="Z58" i="6"/>
  <c r="W58" i="6"/>
  <c r="T58" i="6"/>
  <c r="Q58" i="6"/>
  <c r="N58" i="6"/>
  <c r="Z57" i="6"/>
  <c r="W57" i="6"/>
  <c r="T57" i="6"/>
  <c r="Q57" i="6"/>
  <c r="N57" i="6"/>
  <c r="Z56" i="6"/>
  <c r="W56" i="6"/>
  <c r="T56" i="6"/>
  <c r="Q56" i="6"/>
  <c r="N56" i="6"/>
  <c r="Z55" i="6"/>
  <c r="W55" i="6"/>
  <c r="T55" i="6"/>
  <c r="Q55" i="6"/>
  <c r="N55" i="6"/>
  <c r="Z54" i="6"/>
  <c r="W54" i="6"/>
  <c r="T54" i="6"/>
  <c r="Q54" i="6"/>
  <c r="N54" i="6"/>
  <c r="Z53" i="6"/>
  <c r="W53" i="6"/>
  <c r="T53" i="6"/>
  <c r="Q53" i="6"/>
  <c r="N53" i="6"/>
  <c r="Z52" i="6"/>
  <c r="W52" i="6"/>
  <c r="T52" i="6"/>
  <c r="Q52" i="6"/>
  <c r="N52" i="6"/>
  <c r="Z51" i="6"/>
  <c r="W51" i="6"/>
  <c r="T51" i="6"/>
  <c r="Q51" i="6"/>
  <c r="N51" i="6"/>
  <c r="Z50" i="6"/>
  <c r="W50" i="6"/>
  <c r="T50" i="6"/>
  <c r="Q50" i="6"/>
  <c r="N50" i="6"/>
  <c r="Z49" i="6"/>
  <c r="W49" i="6"/>
  <c r="T49" i="6"/>
  <c r="Q49" i="6"/>
  <c r="N49" i="6"/>
  <c r="Z48" i="6"/>
  <c r="W48" i="6"/>
  <c r="T48" i="6"/>
  <c r="Q48" i="6"/>
  <c r="N48" i="6"/>
  <c r="Z47" i="6"/>
  <c r="W47" i="6"/>
  <c r="T47" i="6"/>
  <c r="Q47" i="6"/>
  <c r="N47" i="6"/>
  <c r="Z46" i="6"/>
  <c r="W46" i="6"/>
  <c r="T46" i="6"/>
  <c r="Q46" i="6"/>
  <c r="N46" i="6"/>
  <c r="Z45" i="6"/>
  <c r="W45" i="6"/>
  <c r="T45" i="6"/>
  <c r="Q45" i="6"/>
  <c r="N45" i="6"/>
  <c r="Z44" i="6"/>
  <c r="W44" i="6"/>
  <c r="T44" i="6"/>
  <c r="Q44" i="6"/>
  <c r="N44" i="6"/>
  <c r="AA44" i="6" s="1"/>
  <c r="AB44" i="6" s="1"/>
  <c r="Z43" i="6"/>
  <c r="W43" i="6"/>
  <c r="T43" i="6"/>
  <c r="Q43" i="6"/>
  <c r="N43" i="6"/>
  <c r="Z42" i="6"/>
  <c r="W42" i="6"/>
  <c r="T42" i="6"/>
  <c r="Q42" i="6"/>
  <c r="N42" i="6"/>
  <c r="Z41" i="6"/>
  <c r="W41" i="6"/>
  <c r="T41" i="6"/>
  <c r="Q41" i="6"/>
  <c r="N41" i="6"/>
  <c r="AA41" i="6" s="1"/>
  <c r="AB41" i="6" s="1"/>
  <c r="Z40" i="6"/>
  <c r="W40" i="6"/>
  <c r="T40" i="6"/>
  <c r="Q40" i="6"/>
  <c r="N40" i="6"/>
  <c r="Z39" i="6"/>
  <c r="W39" i="6"/>
  <c r="T39" i="6"/>
  <c r="Q39" i="6"/>
  <c r="N39" i="6"/>
  <c r="Z38" i="6"/>
  <c r="W38" i="6"/>
  <c r="T38" i="6"/>
  <c r="Q38" i="6"/>
  <c r="N38" i="6"/>
  <c r="Z37" i="6"/>
  <c r="W37" i="6"/>
  <c r="T37" i="6"/>
  <c r="Q37" i="6"/>
  <c r="N37" i="6"/>
  <c r="Z36" i="6"/>
  <c r="W36" i="6"/>
  <c r="T36" i="6"/>
  <c r="Q36" i="6"/>
  <c r="N36" i="6"/>
  <c r="Z35" i="6"/>
  <c r="W35" i="6"/>
  <c r="T35" i="6"/>
  <c r="Q35" i="6"/>
  <c r="N35" i="6"/>
  <c r="Z34" i="6"/>
  <c r="W34" i="6"/>
  <c r="T34" i="6"/>
  <c r="Q34" i="6"/>
  <c r="N34" i="6"/>
  <c r="Z33" i="6"/>
  <c r="W33" i="6"/>
  <c r="T33" i="6"/>
  <c r="Q33" i="6"/>
  <c r="N33" i="6"/>
  <c r="Z32" i="6"/>
  <c r="W32" i="6"/>
  <c r="T32" i="6"/>
  <c r="Q32" i="6"/>
  <c r="N32" i="6"/>
  <c r="Z31" i="6"/>
  <c r="W31" i="6"/>
  <c r="T31" i="6"/>
  <c r="Q31" i="6"/>
  <c r="N31" i="6"/>
  <c r="Z30" i="6"/>
  <c r="W30" i="6"/>
  <c r="T30" i="6"/>
  <c r="Q30" i="6"/>
  <c r="N30" i="6"/>
  <c r="Z29" i="6"/>
  <c r="W29" i="6"/>
  <c r="T29" i="6"/>
  <c r="Q29" i="6"/>
  <c r="N29" i="6"/>
  <c r="Z28" i="6"/>
  <c r="W28" i="6"/>
  <c r="T28" i="6"/>
  <c r="Q28" i="6"/>
  <c r="N28" i="6"/>
  <c r="AA28" i="6" s="1"/>
  <c r="AB28" i="6" s="1"/>
  <c r="Z27" i="6"/>
  <c r="W27" i="6"/>
  <c r="T27" i="6"/>
  <c r="Q27" i="6"/>
  <c r="N27" i="6"/>
  <c r="Z26" i="6"/>
  <c r="W26" i="6"/>
  <c r="T26" i="6"/>
  <c r="Q26" i="6"/>
  <c r="N26" i="6"/>
  <c r="AA26" i="6" s="1"/>
  <c r="AB26" i="6" s="1"/>
  <c r="Z25" i="6"/>
  <c r="W25" i="6"/>
  <c r="T25" i="6"/>
  <c r="Q25" i="6"/>
  <c r="N25" i="6"/>
  <c r="Z24" i="6"/>
  <c r="W24" i="6"/>
  <c r="T24" i="6"/>
  <c r="Q24" i="6"/>
  <c r="N24" i="6"/>
  <c r="Z23" i="6"/>
  <c r="W23" i="6"/>
  <c r="T23" i="6"/>
  <c r="Q23" i="6"/>
  <c r="N23" i="6"/>
  <c r="AA23" i="6" s="1"/>
  <c r="AB23" i="6" s="1"/>
  <c r="Z22" i="6"/>
  <c r="W22" i="6"/>
  <c r="T22" i="6"/>
  <c r="Q22" i="6"/>
  <c r="N22" i="6"/>
  <c r="Z21" i="6"/>
  <c r="W21" i="6"/>
  <c r="T21" i="6"/>
  <c r="Q21" i="6"/>
  <c r="N21" i="6"/>
  <c r="AA21" i="6" s="1"/>
  <c r="AB21" i="6" s="1"/>
  <c r="Z20" i="6"/>
  <c r="W20" i="6"/>
  <c r="T20" i="6"/>
  <c r="Q20" i="6"/>
  <c r="N20" i="6"/>
  <c r="Z19" i="6"/>
  <c r="W19" i="6"/>
  <c r="T19" i="6"/>
  <c r="Q19" i="6"/>
  <c r="N19" i="6"/>
  <c r="Z18" i="6"/>
  <c r="W18" i="6"/>
  <c r="T18" i="6"/>
  <c r="Q18" i="6"/>
  <c r="N18" i="6"/>
  <c r="Z17" i="6"/>
  <c r="W17" i="6"/>
  <c r="T17" i="6"/>
  <c r="Q17" i="6"/>
  <c r="N17" i="6"/>
  <c r="Z16" i="6"/>
  <c r="W16" i="6"/>
  <c r="T16" i="6"/>
  <c r="Q16" i="6"/>
  <c r="N16" i="6"/>
  <c r="Z15" i="6"/>
  <c r="W15" i="6"/>
  <c r="T15" i="6"/>
  <c r="Q15" i="6"/>
  <c r="N15" i="6"/>
  <c r="Z14" i="6"/>
  <c r="W14" i="6"/>
  <c r="T14" i="6"/>
  <c r="Q14" i="6"/>
  <c r="N14" i="6"/>
  <c r="Z13" i="6"/>
  <c r="W13" i="6"/>
  <c r="T13" i="6"/>
  <c r="Q13" i="6"/>
  <c r="N13" i="6"/>
  <c r="Z12" i="6"/>
  <c r="W12" i="6"/>
  <c r="T12" i="6"/>
  <c r="Q12" i="6"/>
  <c r="N12" i="6"/>
  <c r="Z11" i="6"/>
  <c r="W11" i="6"/>
  <c r="T11" i="6"/>
  <c r="Q11" i="6"/>
  <c r="N11" i="6"/>
  <c r="Z10" i="6"/>
  <c r="W10" i="6"/>
  <c r="T10" i="6"/>
  <c r="Q10" i="6"/>
  <c r="N10" i="6"/>
  <c r="Z9" i="6"/>
  <c r="W9" i="6"/>
  <c r="T9" i="6"/>
  <c r="Q9" i="6"/>
  <c r="N9" i="6"/>
  <c r="Z8" i="6"/>
  <c r="W8" i="6"/>
  <c r="T8" i="6"/>
  <c r="Q8" i="6"/>
  <c r="N8" i="6"/>
  <c r="AA8" i="6" s="1"/>
  <c r="AB8" i="6" s="1"/>
  <c r="Z7" i="6"/>
  <c r="W7" i="6"/>
  <c r="T7" i="6"/>
  <c r="Q7" i="6"/>
  <c r="N7" i="6"/>
  <c r="Z6" i="6"/>
  <c r="W6" i="6"/>
  <c r="T6" i="6"/>
  <c r="Q6" i="6"/>
  <c r="N6" i="6"/>
  <c r="Z5" i="6"/>
  <c r="W5" i="6"/>
  <c r="T5" i="6"/>
  <c r="Q5" i="6"/>
  <c r="N5" i="6"/>
  <c r="AH4" i="6"/>
  <c r="Z4" i="6"/>
  <c r="W4" i="6"/>
  <c r="T4" i="6"/>
  <c r="Q4" i="6"/>
  <c r="N4" i="6"/>
  <c r="Z3" i="6"/>
  <c r="W3" i="6"/>
  <c r="T3" i="6"/>
  <c r="Q3" i="6"/>
  <c r="N3" i="6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37" i="5"/>
  <c r="M69" i="5"/>
  <c r="P69" i="5"/>
  <c r="S69" i="5"/>
  <c r="V69" i="5"/>
  <c r="Y69" i="5"/>
  <c r="D35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" i="5"/>
  <c r="D69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37" i="4"/>
  <c r="Z69" i="4"/>
  <c r="Y69" i="4"/>
  <c r="V69" i="4"/>
  <c r="S69" i="4"/>
  <c r="P69" i="4"/>
  <c r="M69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" i="4"/>
  <c r="M35" i="4"/>
  <c r="P35" i="4"/>
  <c r="S35" i="4"/>
  <c r="V35" i="4"/>
  <c r="Y35" i="4"/>
  <c r="Z35" i="4" s="1"/>
  <c r="Y68" i="5"/>
  <c r="V68" i="5"/>
  <c r="S68" i="5"/>
  <c r="P68" i="5"/>
  <c r="M68" i="5"/>
  <c r="Y67" i="5"/>
  <c r="V67" i="5"/>
  <c r="S67" i="5"/>
  <c r="P67" i="5"/>
  <c r="M67" i="5"/>
  <c r="Y66" i="5"/>
  <c r="V66" i="5"/>
  <c r="S66" i="5"/>
  <c r="P66" i="5"/>
  <c r="M66" i="5"/>
  <c r="Y65" i="5"/>
  <c r="V65" i="5"/>
  <c r="S65" i="5"/>
  <c r="P65" i="5"/>
  <c r="M65" i="5"/>
  <c r="Y64" i="5"/>
  <c r="V64" i="5"/>
  <c r="S64" i="5"/>
  <c r="P64" i="5"/>
  <c r="M64" i="5"/>
  <c r="Y63" i="5"/>
  <c r="V63" i="5"/>
  <c r="S63" i="5"/>
  <c r="P63" i="5"/>
  <c r="M63" i="5"/>
  <c r="Y62" i="5"/>
  <c r="V62" i="5"/>
  <c r="S62" i="5"/>
  <c r="P62" i="5"/>
  <c r="M62" i="5"/>
  <c r="Y61" i="5"/>
  <c r="V61" i="5"/>
  <c r="S61" i="5"/>
  <c r="P61" i="5"/>
  <c r="M61" i="5"/>
  <c r="Y60" i="5"/>
  <c r="V60" i="5"/>
  <c r="S60" i="5"/>
  <c r="P60" i="5"/>
  <c r="M60" i="5"/>
  <c r="Y59" i="5"/>
  <c r="V59" i="5"/>
  <c r="S59" i="5"/>
  <c r="P59" i="5"/>
  <c r="M59" i="5"/>
  <c r="Y58" i="5"/>
  <c r="V58" i="5"/>
  <c r="S58" i="5"/>
  <c r="P58" i="5"/>
  <c r="M58" i="5"/>
  <c r="Y57" i="5"/>
  <c r="V57" i="5"/>
  <c r="S57" i="5"/>
  <c r="P57" i="5"/>
  <c r="M57" i="5"/>
  <c r="Y56" i="5"/>
  <c r="V56" i="5"/>
  <c r="S56" i="5"/>
  <c r="P56" i="5"/>
  <c r="M56" i="5"/>
  <c r="Z56" i="5" s="1"/>
  <c r="Y55" i="5"/>
  <c r="V55" i="5"/>
  <c r="S55" i="5"/>
  <c r="P55" i="5"/>
  <c r="M55" i="5"/>
  <c r="Y54" i="5"/>
  <c r="V54" i="5"/>
  <c r="S54" i="5"/>
  <c r="P54" i="5"/>
  <c r="M54" i="5"/>
  <c r="Y53" i="5"/>
  <c r="V53" i="5"/>
  <c r="S53" i="5"/>
  <c r="P53" i="5"/>
  <c r="M53" i="5"/>
  <c r="Y52" i="5"/>
  <c r="V52" i="5"/>
  <c r="S52" i="5"/>
  <c r="P52" i="5"/>
  <c r="M52" i="5"/>
  <c r="Y51" i="5"/>
  <c r="V51" i="5"/>
  <c r="S51" i="5"/>
  <c r="P51" i="5"/>
  <c r="M51" i="5"/>
  <c r="Y50" i="5"/>
  <c r="V50" i="5"/>
  <c r="S50" i="5"/>
  <c r="P50" i="5"/>
  <c r="M50" i="5"/>
  <c r="Y49" i="5"/>
  <c r="V49" i="5"/>
  <c r="S49" i="5"/>
  <c r="P49" i="5"/>
  <c r="M49" i="5"/>
  <c r="Y48" i="5"/>
  <c r="V48" i="5"/>
  <c r="S48" i="5"/>
  <c r="P48" i="5"/>
  <c r="M48" i="5"/>
  <c r="Y47" i="5"/>
  <c r="V47" i="5"/>
  <c r="S47" i="5"/>
  <c r="P47" i="5"/>
  <c r="M47" i="5"/>
  <c r="Y46" i="5"/>
  <c r="V46" i="5"/>
  <c r="S46" i="5"/>
  <c r="P46" i="5"/>
  <c r="M46" i="5"/>
  <c r="Y45" i="5"/>
  <c r="V45" i="5"/>
  <c r="S45" i="5"/>
  <c r="P45" i="5"/>
  <c r="M45" i="5"/>
  <c r="Y44" i="5"/>
  <c r="V44" i="5"/>
  <c r="S44" i="5"/>
  <c r="P44" i="5"/>
  <c r="M44" i="5"/>
  <c r="Y43" i="5"/>
  <c r="V43" i="5"/>
  <c r="S43" i="5"/>
  <c r="P43" i="5"/>
  <c r="M43" i="5"/>
  <c r="Y42" i="5"/>
  <c r="V42" i="5"/>
  <c r="S42" i="5"/>
  <c r="P42" i="5"/>
  <c r="M42" i="5"/>
  <c r="Y41" i="5"/>
  <c r="V41" i="5"/>
  <c r="S41" i="5"/>
  <c r="P41" i="5"/>
  <c r="M41" i="5"/>
  <c r="Y40" i="5"/>
  <c r="V40" i="5"/>
  <c r="S40" i="5"/>
  <c r="P40" i="5"/>
  <c r="M40" i="5"/>
  <c r="Y39" i="5"/>
  <c r="V39" i="5"/>
  <c r="S39" i="5"/>
  <c r="P39" i="5"/>
  <c r="M39" i="5"/>
  <c r="Y38" i="5"/>
  <c r="V38" i="5"/>
  <c r="S38" i="5"/>
  <c r="P38" i="5"/>
  <c r="M38" i="5"/>
  <c r="Z38" i="5" s="1"/>
  <c r="Y37" i="5"/>
  <c r="V37" i="5"/>
  <c r="S37" i="5"/>
  <c r="P37" i="5"/>
  <c r="M37" i="5"/>
  <c r="Y35" i="5"/>
  <c r="V35" i="5"/>
  <c r="S35" i="5"/>
  <c r="P35" i="5"/>
  <c r="M35" i="5"/>
  <c r="Y34" i="5"/>
  <c r="V34" i="5"/>
  <c r="S34" i="5"/>
  <c r="P34" i="5"/>
  <c r="M34" i="5"/>
  <c r="Y33" i="5"/>
  <c r="V33" i="5"/>
  <c r="S33" i="5"/>
  <c r="P33" i="5"/>
  <c r="M33" i="5"/>
  <c r="Y32" i="5"/>
  <c r="V32" i="5"/>
  <c r="S32" i="5"/>
  <c r="P32" i="5"/>
  <c r="M32" i="5"/>
  <c r="Z32" i="5" s="1"/>
  <c r="Y31" i="5"/>
  <c r="V31" i="5"/>
  <c r="S31" i="5"/>
  <c r="P31" i="5"/>
  <c r="M31" i="5"/>
  <c r="Y30" i="5"/>
  <c r="V30" i="5"/>
  <c r="S30" i="5"/>
  <c r="P30" i="5"/>
  <c r="M30" i="5"/>
  <c r="Y29" i="5"/>
  <c r="V29" i="5"/>
  <c r="S29" i="5"/>
  <c r="P29" i="5"/>
  <c r="M29" i="5"/>
  <c r="Y28" i="5"/>
  <c r="V28" i="5"/>
  <c r="S28" i="5"/>
  <c r="P28" i="5"/>
  <c r="M28" i="5"/>
  <c r="Y27" i="5"/>
  <c r="V27" i="5"/>
  <c r="S27" i="5"/>
  <c r="P27" i="5"/>
  <c r="M27" i="5"/>
  <c r="Y26" i="5"/>
  <c r="V26" i="5"/>
  <c r="S26" i="5"/>
  <c r="P26" i="5"/>
  <c r="M26" i="5"/>
  <c r="Y25" i="5"/>
  <c r="V25" i="5"/>
  <c r="S25" i="5"/>
  <c r="P25" i="5"/>
  <c r="M25" i="5"/>
  <c r="Y24" i="5"/>
  <c r="V24" i="5"/>
  <c r="S24" i="5"/>
  <c r="P24" i="5"/>
  <c r="M24" i="5"/>
  <c r="Y23" i="5"/>
  <c r="V23" i="5"/>
  <c r="S23" i="5"/>
  <c r="P23" i="5"/>
  <c r="M23" i="5"/>
  <c r="Y22" i="5"/>
  <c r="V22" i="5"/>
  <c r="S22" i="5"/>
  <c r="P22" i="5"/>
  <c r="M22" i="5"/>
  <c r="Y21" i="5"/>
  <c r="V21" i="5"/>
  <c r="S21" i="5"/>
  <c r="P21" i="5"/>
  <c r="M21" i="5"/>
  <c r="Y20" i="5"/>
  <c r="V20" i="5"/>
  <c r="S20" i="5"/>
  <c r="P20" i="5"/>
  <c r="M20" i="5"/>
  <c r="Y19" i="5"/>
  <c r="V19" i="5"/>
  <c r="S19" i="5"/>
  <c r="P19" i="5"/>
  <c r="M19" i="5"/>
  <c r="Z19" i="5" s="1"/>
  <c r="Y18" i="5"/>
  <c r="V18" i="5"/>
  <c r="S18" i="5"/>
  <c r="P18" i="5"/>
  <c r="M18" i="5"/>
  <c r="Y17" i="5"/>
  <c r="V17" i="5"/>
  <c r="S17" i="5"/>
  <c r="P17" i="5"/>
  <c r="M17" i="5"/>
  <c r="Y16" i="5"/>
  <c r="V16" i="5"/>
  <c r="S16" i="5"/>
  <c r="P16" i="5"/>
  <c r="M16" i="5"/>
  <c r="Y15" i="5"/>
  <c r="V15" i="5"/>
  <c r="S15" i="5"/>
  <c r="P15" i="5"/>
  <c r="M15" i="5"/>
  <c r="Y14" i="5"/>
  <c r="V14" i="5"/>
  <c r="S14" i="5"/>
  <c r="P14" i="5"/>
  <c r="M14" i="5"/>
  <c r="Z14" i="5" s="1"/>
  <c r="Y13" i="5"/>
  <c r="V13" i="5"/>
  <c r="S13" i="5"/>
  <c r="P13" i="5"/>
  <c r="M13" i="5"/>
  <c r="Y12" i="5"/>
  <c r="V12" i="5"/>
  <c r="S12" i="5"/>
  <c r="P12" i="5"/>
  <c r="M12" i="5"/>
  <c r="Y11" i="5"/>
  <c r="V11" i="5"/>
  <c r="S11" i="5"/>
  <c r="P11" i="5"/>
  <c r="M11" i="5"/>
  <c r="Y10" i="5"/>
  <c r="V10" i="5"/>
  <c r="S10" i="5"/>
  <c r="P10" i="5"/>
  <c r="M10" i="5"/>
  <c r="Y9" i="5"/>
  <c r="V9" i="5"/>
  <c r="S9" i="5"/>
  <c r="P9" i="5"/>
  <c r="M9" i="5"/>
  <c r="Y8" i="5"/>
  <c r="V8" i="5"/>
  <c r="S8" i="5"/>
  <c r="P8" i="5"/>
  <c r="M8" i="5"/>
  <c r="Y7" i="5"/>
  <c r="V7" i="5"/>
  <c r="S7" i="5"/>
  <c r="P7" i="5"/>
  <c r="M7" i="5"/>
  <c r="Y6" i="5"/>
  <c r="V6" i="5"/>
  <c r="S6" i="5"/>
  <c r="P6" i="5"/>
  <c r="M6" i="5"/>
  <c r="Y5" i="5"/>
  <c r="V5" i="5"/>
  <c r="S5" i="5"/>
  <c r="P5" i="5"/>
  <c r="M5" i="5"/>
  <c r="Y4" i="5"/>
  <c r="V4" i="5"/>
  <c r="S4" i="5"/>
  <c r="P4" i="5"/>
  <c r="M4" i="5"/>
  <c r="Y3" i="5"/>
  <c r="V3" i="5"/>
  <c r="S3" i="5"/>
  <c r="P3" i="5"/>
  <c r="M3" i="5"/>
  <c r="Y68" i="4"/>
  <c r="V68" i="4"/>
  <c r="S68" i="4"/>
  <c r="P68" i="4"/>
  <c r="M68" i="4"/>
  <c r="Y67" i="4"/>
  <c r="V67" i="4"/>
  <c r="S67" i="4"/>
  <c r="P67" i="4"/>
  <c r="M67" i="4"/>
  <c r="Y66" i="4"/>
  <c r="V66" i="4"/>
  <c r="S66" i="4"/>
  <c r="P66" i="4"/>
  <c r="M66" i="4"/>
  <c r="Z66" i="4" s="1"/>
  <c r="Y65" i="4"/>
  <c r="V65" i="4"/>
  <c r="S65" i="4"/>
  <c r="P65" i="4"/>
  <c r="M65" i="4"/>
  <c r="Y64" i="4"/>
  <c r="V64" i="4"/>
  <c r="S64" i="4"/>
  <c r="P64" i="4"/>
  <c r="M64" i="4"/>
  <c r="Y63" i="4"/>
  <c r="V63" i="4"/>
  <c r="S63" i="4"/>
  <c r="P63" i="4"/>
  <c r="M63" i="4"/>
  <c r="Z63" i="4" s="1"/>
  <c r="Y62" i="4"/>
  <c r="V62" i="4"/>
  <c r="S62" i="4"/>
  <c r="P62" i="4"/>
  <c r="M62" i="4"/>
  <c r="Y61" i="4"/>
  <c r="V61" i="4"/>
  <c r="S61" i="4"/>
  <c r="P61" i="4"/>
  <c r="M61" i="4"/>
  <c r="Y60" i="4"/>
  <c r="V60" i="4"/>
  <c r="S60" i="4"/>
  <c r="P60" i="4"/>
  <c r="M60" i="4"/>
  <c r="Y59" i="4"/>
  <c r="V59" i="4"/>
  <c r="S59" i="4"/>
  <c r="P59" i="4"/>
  <c r="M59" i="4"/>
  <c r="Z59" i="4" s="1"/>
  <c r="Y58" i="4"/>
  <c r="V58" i="4"/>
  <c r="S58" i="4"/>
  <c r="P58" i="4"/>
  <c r="M58" i="4"/>
  <c r="Y57" i="4"/>
  <c r="V57" i="4"/>
  <c r="S57" i="4"/>
  <c r="P57" i="4"/>
  <c r="M57" i="4"/>
  <c r="Y56" i="4"/>
  <c r="V56" i="4"/>
  <c r="S56" i="4"/>
  <c r="P56" i="4"/>
  <c r="M56" i="4"/>
  <c r="Z56" i="4" s="1"/>
  <c r="Y55" i="4"/>
  <c r="V55" i="4"/>
  <c r="S55" i="4"/>
  <c r="P55" i="4"/>
  <c r="M55" i="4"/>
  <c r="Y54" i="4"/>
  <c r="V54" i="4"/>
  <c r="S54" i="4"/>
  <c r="P54" i="4"/>
  <c r="M54" i="4"/>
  <c r="Y53" i="4"/>
  <c r="V53" i="4"/>
  <c r="S53" i="4"/>
  <c r="P53" i="4"/>
  <c r="M53" i="4"/>
  <c r="Y52" i="4"/>
  <c r="V52" i="4"/>
  <c r="S52" i="4"/>
  <c r="P52" i="4"/>
  <c r="M52" i="4"/>
  <c r="Z52" i="4" s="1"/>
  <c r="Y51" i="4"/>
  <c r="V51" i="4"/>
  <c r="S51" i="4"/>
  <c r="P51" i="4"/>
  <c r="M51" i="4"/>
  <c r="Y50" i="4"/>
  <c r="V50" i="4"/>
  <c r="S50" i="4"/>
  <c r="P50" i="4"/>
  <c r="M50" i="4"/>
  <c r="Y49" i="4"/>
  <c r="V49" i="4"/>
  <c r="S49" i="4"/>
  <c r="P49" i="4"/>
  <c r="M49" i="4"/>
  <c r="Z49" i="4" s="1"/>
  <c r="Y48" i="4"/>
  <c r="V48" i="4"/>
  <c r="S48" i="4"/>
  <c r="P48" i="4"/>
  <c r="M48" i="4"/>
  <c r="Z48" i="4" s="1"/>
  <c r="Y47" i="4"/>
  <c r="V47" i="4"/>
  <c r="S47" i="4"/>
  <c r="P47" i="4"/>
  <c r="M47" i="4"/>
  <c r="Y46" i="4"/>
  <c r="V46" i="4"/>
  <c r="S46" i="4"/>
  <c r="P46" i="4"/>
  <c r="M46" i="4"/>
  <c r="Y45" i="4"/>
  <c r="V45" i="4"/>
  <c r="S45" i="4"/>
  <c r="P45" i="4"/>
  <c r="M45" i="4"/>
  <c r="Z45" i="4" s="1"/>
  <c r="Y44" i="4"/>
  <c r="V44" i="4"/>
  <c r="S44" i="4"/>
  <c r="P44" i="4"/>
  <c r="M44" i="4"/>
  <c r="Y43" i="4"/>
  <c r="V43" i="4"/>
  <c r="S43" i="4"/>
  <c r="P43" i="4"/>
  <c r="M43" i="4"/>
  <c r="Y42" i="4"/>
  <c r="V42" i="4"/>
  <c r="S42" i="4"/>
  <c r="P42" i="4"/>
  <c r="M42" i="4"/>
  <c r="Y41" i="4"/>
  <c r="V41" i="4"/>
  <c r="S41" i="4"/>
  <c r="P41" i="4"/>
  <c r="M41" i="4"/>
  <c r="Z41" i="4" s="1"/>
  <c r="Y40" i="4"/>
  <c r="V40" i="4"/>
  <c r="S40" i="4"/>
  <c r="P40" i="4"/>
  <c r="M40" i="4"/>
  <c r="Y39" i="4"/>
  <c r="V39" i="4"/>
  <c r="S39" i="4"/>
  <c r="P39" i="4"/>
  <c r="M39" i="4"/>
  <c r="Y38" i="4"/>
  <c r="V38" i="4"/>
  <c r="S38" i="4"/>
  <c r="P38" i="4"/>
  <c r="M38" i="4"/>
  <c r="Z38" i="4" s="1"/>
  <c r="Y37" i="4"/>
  <c r="V37" i="4"/>
  <c r="S37" i="4"/>
  <c r="P37" i="4"/>
  <c r="M37" i="4"/>
  <c r="Y34" i="4"/>
  <c r="V34" i="4"/>
  <c r="S34" i="4"/>
  <c r="P34" i="4"/>
  <c r="M34" i="4"/>
  <c r="Y33" i="4"/>
  <c r="V33" i="4"/>
  <c r="S33" i="4"/>
  <c r="P33" i="4"/>
  <c r="M33" i="4"/>
  <c r="Y32" i="4"/>
  <c r="V32" i="4"/>
  <c r="S32" i="4"/>
  <c r="P32" i="4"/>
  <c r="M32" i="4"/>
  <c r="Z32" i="4" s="1"/>
  <c r="Y31" i="4"/>
  <c r="V31" i="4"/>
  <c r="S31" i="4"/>
  <c r="P31" i="4"/>
  <c r="M31" i="4"/>
  <c r="Y30" i="4"/>
  <c r="V30" i="4"/>
  <c r="S30" i="4"/>
  <c r="P30" i="4"/>
  <c r="M30" i="4"/>
  <c r="Y29" i="4"/>
  <c r="V29" i="4"/>
  <c r="S29" i="4"/>
  <c r="P29" i="4"/>
  <c r="M29" i="4"/>
  <c r="Z29" i="4" s="1"/>
  <c r="Y28" i="4"/>
  <c r="V28" i="4"/>
  <c r="S28" i="4"/>
  <c r="P28" i="4"/>
  <c r="M28" i="4"/>
  <c r="Z28" i="4" s="1"/>
  <c r="Y27" i="4"/>
  <c r="V27" i="4"/>
  <c r="S27" i="4"/>
  <c r="P27" i="4"/>
  <c r="M27" i="4"/>
  <c r="Y26" i="4"/>
  <c r="V26" i="4"/>
  <c r="S26" i="4"/>
  <c r="P26" i="4"/>
  <c r="M26" i="4"/>
  <c r="Y25" i="4"/>
  <c r="V25" i="4"/>
  <c r="S25" i="4"/>
  <c r="P25" i="4"/>
  <c r="M25" i="4"/>
  <c r="Z25" i="4" s="1"/>
  <c r="Y24" i="4"/>
  <c r="V24" i="4"/>
  <c r="S24" i="4"/>
  <c r="P24" i="4"/>
  <c r="M24" i="4"/>
  <c r="Z24" i="4" s="1"/>
  <c r="Y23" i="4"/>
  <c r="V23" i="4"/>
  <c r="S23" i="4"/>
  <c r="P23" i="4"/>
  <c r="M23" i="4"/>
  <c r="Z23" i="4" s="1"/>
  <c r="Y22" i="4"/>
  <c r="V22" i="4"/>
  <c r="S22" i="4"/>
  <c r="P22" i="4"/>
  <c r="M22" i="4"/>
  <c r="Z22" i="4" s="1"/>
  <c r="Y21" i="4"/>
  <c r="V21" i="4"/>
  <c r="S21" i="4"/>
  <c r="P21" i="4"/>
  <c r="M21" i="4"/>
  <c r="Z21" i="4" s="1"/>
  <c r="Y20" i="4"/>
  <c r="V20" i="4"/>
  <c r="S20" i="4"/>
  <c r="P20" i="4"/>
  <c r="M20" i="4"/>
  <c r="Y19" i="4"/>
  <c r="V19" i="4"/>
  <c r="S19" i="4"/>
  <c r="P19" i="4"/>
  <c r="M19" i="4"/>
  <c r="Y18" i="4"/>
  <c r="V18" i="4"/>
  <c r="S18" i="4"/>
  <c r="P18" i="4"/>
  <c r="M18" i="4"/>
  <c r="Z18" i="4" s="1"/>
  <c r="Y17" i="4"/>
  <c r="V17" i="4"/>
  <c r="S17" i="4"/>
  <c r="P17" i="4"/>
  <c r="M17" i="4"/>
  <c r="Z17" i="4" s="1"/>
  <c r="Y16" i="4"/>
  <c r="V16" i="4"/>
  <c r="S16" i="4"/>
  <c r="P16" i="4"/>
  <c r="M16" i="4"/>
  <c r="Y15" i="4"/>
  <c r="V15" i="4"/>
  <c r="S15" i="4"/>
  <c r="P15" i="4"/>
  <c r="M15" i="4"/>
  <c r="Y14" i="4"/>
  <c r="V14" i="4"/>
  <c r="S14" i="4"/>
  <c r="P14" i="4"/>
  <c r="M14" i="4"/>
  <c r="Z14" i="4" s="1"/>
  <c r="Y13" i="4"/>
  <c r="V13" i="4"/>
  <c r="S13" i="4"/>
  <c r="P13" i="4"/>
  <c r="M13" i="4"/>
  <c r="Y12" i="4"/>
  <c r="V12" i="4"/>
  <c r="S12" i="4"/>
  <c r="P12" i="4"/>
  <c r="M12" i="4"/>
  <c r="Y11" i="4"/>
  <c r="V11" i="4"/>
  <c r="S11" i="4"/>
  <c r="P11" i="4"/>
  <c r="M11" i="4"/>
  <c r="Z11" i="4" s="1"/>
  <c r="Y10" i="4"/>
  <c r="V10" i="4"/>
  <c r="S10" i="4"/>
  <c r="P10" i="4"/>
  <c r="M10" i="4"/>
  <c r="Z10" i="4" s="1"/>
  <c r="Y9" i="4"/>
  <c r="V9" i="4"/>
  <c r="S9" i="4"/>
  <c r="P9" i="4"/>
  <c r="M9" i="4"/>
  <c r="Y8" i="4"/>
  <c r="V8" i="4"/>
  <c r="S8" i="4"/>
  <c r="P8" i="4"/>
  <c r="M8" i="4"/>
  <c r="Y7" i="4"/>
  <c r="V7" i="4"/>
  <c r="S7" i="4"/>
  <c r="P7" i="4"/>
  <c r="M7" i="4"/>
  <c r="Z7" i="4" s="1"/>
  <c r="Y6" i="4"/>
  <c r="V6" i="4"/>
  <c r="S6" i="4"/>
  <c r="P6" i="4"/>
  <c r="M6" i="4"/>
  <c r="Z6" i="4" s="1"/>
  <c r="Y5" i="4"/>
  <c r="V5" i="4"/>
  <c r="S5" i="4"/>
  <c r="P5" i="4"/>
  <c r="M5" i="4"/>
  <c r="Z5" i="4" s="1"/>
  <c r="Y4" i="4"/>
  <c r="V4" i="4"/>
  <c r="S4" i="4"/>
  <c r="P4" i="4"/>
  <c r="M4" i="4"/>
  <c r="Z4" i="4" s="1"/>
  <c r="Y3" i="4"/>
  <c r="V3" i="4"/>
  <c r="S3" i="4"/>
  <c r="P3" i="4"/>
  <c r="M3" i="4"/>
  <c r="Z3" i="4" s="1"/>
  <c r="AA77" i="7" l="1"/>
  <c r="AB77" i="7" s="1"/>
  <c r="AA71" i="7"/>
  <c r="AB71" i="7" s="1"/>
  <c r="AA89" i="7"/>
  <c r="AB89" i="7" s="1"/>
  <c r="AA68" i="7"/>
  <c r="AB68" i="7" s="1"/>
  <c r="AA76" i="7"/>
  <c r="AB76" i="7" s="1"/>
  <c r="AA81" i="7"/>
  <c r="AB81" i="7" s="1"/>
  <c r="AA99" i="7"/>
  <c r="AB99" i="7" s="1"/>
  <c r="AA94" i="7"/>
  <c r="AB94" i="7" s="1"/>
  <c r="AA72" i="7"/>
  <c r="AB72" i="7" s="1"/>
  <c r="AA69" i="7"/>
  <c r="AB69" i="7" s="1"/>
  <c r="AA73" i="7"/>
  <c r="AB73" i="7" s="1"/>
  <c r="AA100" i="7"/>
  <c r="AA78" i="7"/>
  <c r="AB78" i="7" s="1"/>
  <c r="AA87" i="7"/>
  <c r="AB87" i="7" s="1"/>
  <c r="AA96" i="7"/>
  <c r="AB96" i="7" s="1"/>
  <c r="AA80" i="7"/>
  <c r="AB80" i="7" s="1"/>
  <c r="AA98" i="7"/>
  <c r="AB98" i="7" s="1"/>
  <c r="AA85" i="7"/>
  <c r="AB85" i="7" s="1"/>
  <c r="AA90" i="7"/>
  <c r="AB90" i="7" s="1"/>
  <c r="AA75" i="6"/>
  <c r="AB75" i="6" s="1"/>
  <c r="AA93" i="6"/>
  <c r="AB93" i="6" s="1"/>
  <c r="AA99" i="6"/>
  <c r="AB99" i="6" s="1"/>
  <c r="AA77" i="6"/>
  <c r="AB77" i="6" s="1"/>
  <c r="AA95" i="6"/>
  <c r="AB95" i="6" s="1"/>
  <c r="AA68" i="6"/>
  <c r="AB68" i="6" s="1"/>
  <c r="AA72" i="6"/>
  <c r="AB72" i="6" s="1"/>
  <c r="AA73" i="6"/>
  <c r="AB73" i="6" s="1"/>
  <c r="AA86" i="6"/>
  <c r="AB86" i="6" s="1"/>
  <c r="AA69" i="6"/>
  <c r="AB69" i="6" s="1"/>
  <c r="AA82" i="6"/>
  <c r="AB82" i="6" s="1"/>
  <c r="AA91" i="6"/>
  <c r="AB91" i="6" s="1"/>
  <c r="AA100" i="6"/>
  <c r="AA90" i="6"/>
  <c r="AB90" i="6" s="1"/>
  <c r="AA85" i="6"/>
  <c r="AB85" i="6" s="1"/>
  <c r="AA71" i="6"/>
  <c r="AB71" i="6" s="1"/>
  <c r="AA76" i="6"/>
  <c r="AB76" i="6" s="1"/>
  <c r="AA94" i="6"/>
  <c r="AB94" i="6" s="1"/>
  <c r="AA7" i="7"/>
  <c r="AB7" i="7" s="1"/>
  <c r="AA10" i="7"/>
  <c r="AB10" i="7" s="1"/>
  <c r="AA13" i="7"/>
  <c r="AB13" i="7" s="1"/>
  <c r="AA19" i="7"/>
  <c r="AB19" i="7" s="1"/>
  <c r="AA22" i="7"/>
  <c r="AB22" i="7" s="1"/>
  <c r="AA25" i="7"/>
  <c r="AB25" i="7" s="1"/>
  <c r="AA31" i="7"/>
  <c r="AB31" i="7" s="1"/>
  <c r="AA34" i="7"/>
  <c r="AB34" i="7" s="1"/>
  <c r="AA37" i="7"/>
  <c r="AB37" i="7" s="1"/>
  <c r="AA43" i="7"/>
  <c r="AB43" i="7" s="1"/>
  <c r="AA49" i="7"/>
  <c r="AB49" i="7" s="1"/>
  <c r="AA55" i="7"/>
  <c r="AB55" i="7" s="1"/>
  <c r="AA61" i="7"/>
  <c r="AB61" i="7" s="1"/>
  <c r="AA4" i="7"/>
  <c r="AB4" i="7" s="1"/>
  <c r="AA5" i="7"/>
  <c r="AB5" i="7" s="1"/>
  <c r="AA11" i="7"/>
  <c r="AB11" i="7" s="1"/>
  <c r="AA17" i="7"/>
  <c r="AB17" i="7" s="1"/>
  <c r="AA23" i="7"/>
  <c r="AB23" i="7" s="1"/>
  <c r="AA29" i="7"/>
  <c r="AB29" i="7" s="1"/>
  <c r="AA35" i="7"/>
  <c r="AB35" i="7" s="1"/>
  <c r="AA41" i="7"/>
  <c r="AB41" i="7" s="1"/>
  <c r="AA47" i="7"/>
  <c r="AB47" i="7" s="1"/>
  <c r="AA53" i="7"/>
  <c r="AB53" i="7" s="1"/>
  <c r="AA59" i="7"/>
  <c r="AB59" i="7" s="1"/>
  <c r="AA18" i="7"/>
  <c r="AB18" i="7" s="1"/>
  <c r="AA24" i="7"/>
  <c r="AB24" i="7" s="1"/>
  <c r="AA30" i="7"/>
  <c r="AB30" i="7" s="1"/>
  <c r="AA65" i="7"/>
  <c r="AB65" i="7" s="1"/>
  <c r="AA12" i="7"/>
  <c r="AB12" i="7" s="1"/>
  <c r="AA3" i="7"/>
  <c r="AB3" i="7" s="1"/>
  <c r="AA9" i="7"/>
  <c r="AB9" i="7" s="1"/>
  <c r="AA15" i="7"/>
  <c r="AB15" i="7" s="1"/>
  <c r="AA21" i="7"/>
  <c r="AB21" i="7" s="1"/>
  <c r="AA27" i="7"/>
  <c r="AB27" i="7" s="1"/>
  <c r="AA33" i="7"/>
  <c r="AB33" i="7" s="1"/>
  <c r="AA39" i="7"/>
  <c r="AB39" i="7" s="1"/>
  <c r="AA45" i="7"/>
  <c r="AB45" i="7" s="1"/>
  <c r="AA51" i="7"/>
  <c r="AB51" i="7" s="1"/>
  <c r="AA54" i="7"/>
  <c r="AB54" i="7" s="1"/>
  <c r="AA57" i="7"/>
  <c r="AB57" i="7" s="1"/>
  <c r="AA63" i="7"/>
  <c r="AB63" i="7" s="1"/>
  <c r="AA36" i="7"/>
  <c r="AB36" i="7" s="1"/>
  <c r="AA42" i="7"/>
  <c r="AB42" i="7" s="1"/>
  <c r="AA48" i="7"/>
  <c r="AB48" i="7" s="1"/>
  <c r="AA60" i="7"/>
  <c r="AB60" i="7" s="1"/>
  <c r="AA66" i="7"/>
  <c r="AB66" i="7" s="1"/>
  <c r="AA16" i="7"/>
  <c r="AB16" i="7" s="1"/>
  <c r="AA28" i="7"/>
  <c r="AB28" i="7" s="1"/>
  <c r="AA8" i="7"/>
  <c r="AB8" i="7" s="1"/>
  <c r="AA40" i="7"/>
  <c r="AB40" i="7" s="1"/>
  <c r="AA46" i="7"/>
  <c r="AB46" i="7" s="1"/>
  <c r="AA52" i="7"/>
  <c r="AB52" i="7" s="1"/>
  <c r="AA58" i="7"/>
  <c r="AB58" i="7" s="1"/>
  <c r="AA64" i="7"/>
  <c r="AB64" i="7" s="1"/>
  <c r="AA14" i="7"/>
  <c r="AB14" i="7" s="1"/>
  <c r="AA20" i="7"/>
  <c r="AB20" i="7" s="1"/>
  <c r="AA26" i="7"/>
  <c r="AB26" i="7" s="1"/>
  <c r="AA32" i="7"/>
  <c r="AB32" i="7" s="1"/>
  <c r="AA6" i="7"/>
  <c r="AB6" i="7" s="1"/>
  <c r="AA38" i="7"/>
  <c r="AB38" i="7" s="1"/>
  <c r="AA44" i="7"/>
  <c r="AB44" i="7" s="1"/>
  <c r="AA50" i="7"/>
  <c r="AB50" i="7" s="1"/>
  <c r="AA56" i="7"/>
  <c r="AB56" i="7" s="1"/>
  <c r="AA62" i="7"/>
  <c r="AB62" i="7" s="1"/>
  <c r="F4" i="7"/>
  <c r="F5" i="7" s="1"/>
  <c r="F6" i="7" s="1"/>
  <c r="F7" i="7" s="1"/>
  <c r="F8" i="7" s="1"/>
  <c r="F9" i="7" s="1"/>
  <c r="F10" i="7" s="1"/>
  <c r="F11" i="7" s="1"/>
  <c r="F12" i="7" s="1"/>
  <c r="F13" i="7" s="1"/>
  <c r="F14" i="7" s="1"/>
  <c r="F15" i="7" s="1"/>
  <c r="F16" i="7" s="1"/>
  <c r="F17" i="7" s="1"/>
  <c r="F18" i="7" s="1"/>
  <c r="F19" i="7" s="1"/>
  <c r="F20" i="7" s="1"/>
  <c r="F21" i="7" s="1"/>
  <c r="F22" i="7" s="1"/>
  <c r="F23" i="7" s="1"/>
  <c r="F24" i="7" s="1"/>
  <c r="F25" i="7" s="1"/>
  <c r="F26" i="7" s="1"/>
  <c r="F27" i="7" s="1"/>
  <c r="F28" i="7" s="1"/>
  <c r="F29" i="7" s="1"/>
  <c r="F30" i="7" s="1"/>
  <c r="F31" i="7" s="1"/>
  <c r="F32" i="7" s="1"/>
  <c r="F33" i="7" s="1"/>
  <c r="F34" i="7" s="1"/>
  <c r="F35" i="7" s="1"/>
  <c r="F36" i="7" s="1"/>
  <c r="F37" i="7" s="1"/>
  <c r="F38" i="7" s="1"/>
  <c r="F39" i="7" s="1"/>
  <c r="F40" i="7" s="1"/>
  <c r="F41" i="7" s="1"/>
  <c r="F42" i="7" s="1"/>
  <c r="F43" i="7" s="1"/>
  <c r="F44" i="7" s="1"/>
  <c r="F45" i="7" s="1"/>
  <c r="F46" i="7" s="1"/>
  <c r="F47" i="7" s="1"/>
  <c r="F48" i="7" s="1"/>
  <c r="F49" i="7" s="1"/>
  <c r="F50" i="7" s="1"/>
  <c r="F51" i="7" s="1"/>
  <c r="F52" i="7" s="1"/>
  <c r="F53" i="7" s="1"/>
  <c r="F54" i="7" s="1"/>
  <c r="F55" i="7" s="1"/>
  <c r="F56" i="7" s="1"/>
  <c r="F57" i="7" s="1"/>
  <c r="F58" i="7" s="1"/>
  <c r="F59" i="7" s="1"/>
  <c r="F60" i="7" s="1"/>
  <c r="F61" i="7" s="1"/>
  <c r="F62" i="7" s="1"/>
  <c r="F63" i="7" s="1"/>
  <c r="F64" i="7" s="1"/>
  <c r="F65" i="7" s="1"/>
  <c r="F66" i="7" s="1"/>
  <c r="AH3" i="7" s="1"/>
  <c r="AA88" i="7"/>
  <c r="AB88" i="7" s="1"/>
  <c r="AA14" i="6"/>
  <c r="AB14" i="6" s="1"/>
  <c r="AA32" i="6"/>
  <c r="AB32" i="6" s="1"/>
  <c r="AA50" i="6"/>
  <c r="AB50" i="6" s="1"/>
  <c r="AA7" i="6"/>
  <c r="AB7" i="6" s="1"/>
  <c r="AA25" i="6"/>
  <c r="AB25" i="6" s="1"/>
  <c r="AA43" i="6"/>
  <c r="AB43" i="6" s="1"/>
  <c r="AA61" i="6"/>
  <c r="AB61" i="6" s="1"/>
  <c r="AA4" i="6"/>
  <c r="AB4" i="6" s="1"/>
  <c r="AA36" i="6"/>
  <c r="AB36" i="6" s="1"/>
  <c r="AA16" i="6"/>
  <c r="AB16" i="6" s="1"/>
  <c r="AA42" i="6"/>
  <c r="AB42" i="6" s="1"/>
  <c r="AA60" i="6"/>
  <c r="AB60" i="6" s="1"/>
  <c r="AA17" i="6"/>
  <c r="AB17" i="6" s="1"/>
  <c r="AA35" i="6"/>
  <c r="AB35" i="6" s="1"/>
  <c r="AA53" i="6"/>
  <c r="AB53" i="6" s="1"/>
  <c r="AA27" i="6"/>
  <c r="AB27" i="6" s="1"/>
  <c r="AA63" i="6"/>
  <c r="AB63" i="6" s="1"/>
  <c r="AA40" i="6"/>
  <c r="AB40" i="6" s="1"/>
  <c r="AA58" i="6"/>
  <c r="AB58" i="6" s="1"/>
  <c r="AA15" i="6"/>
  <c r="AB15" i="6" s="1"/>
  <c r="AA22" i="6"/>
  <c r="AB22" i="6" s="1"/>
  <c r="AA33" i="6"/>
  <c r="AB33" i="6" s="1"/>
  <c r="AA51" i="6"/>
  <c r="AB51" i="6" s="1"/>
  <c r="AA20" i="6"/>
  <c r="AB20" i="6" s="1"/>
  <c r="AA29" i="6"/>
  <c r="AB29" i="6" s="1"/>
  <c r="AA5" i="6"/>
  <c r="AB5" i="6" s="1"/>
  <c r="AA10" i="6"/>
  <c r="AB10" i="6" s="1"/>
  <c r="AA39" i="6"/>
  <c r="AB39" i="6" s="1"/>
  <c r="AA11" i="6"/>
  <c r="AB11" i="6" s="1"/>
  <c r="AA37" i="6"/>
  <c r="AB37" i="6" s="1"/>
  <c r="AA19" i="6"/>
  <c r="AB19" i="6" s="1"/>
  <c r="AA34" i="6"/>
  <c r="AB34" i="6" s="1"/>
  <c r="AA52" i="6"/>
  <c r="AB52" i="6" s="1"/>
  <c r="AA12" i="6"/>
  <c r="AB12" i="6" s="1"/>
  <c r="AA13" i="6"/>
  <c r="AB13" i="6" s="1"/>
  <c r="AA66" i="6"/>
  <c r="AB66" i="6" s="1"/>
  <c r="AA3" i="6"/>
  <c r="AB3" i="6" s="1"/>
  <c r="AA6" i="6"/>
  <c r="AB6" i="6" s="1"/>
  <c r="AA31" i="6"/>
  <c r="AB31" i="6" s="1"/>
  <c r="AA49" i="6"/>
  <c r="AB49" i="6" s="1"/>
  <c r="AA54" i="6"/>
  <c r="AB54" i="6" s="1"/>
  <c r="AA57" i="6"/>
  <c r="AB57" i="6" s="1"/>
  <c r="AA64" i="6"/>
  <c r="AB64" i="6" s="1"/>
  <c r="AA47" i="6"/>
  <c r="AB47" i="6" s="1"/>
  <c r="AA30" i="6"/>
  <c r="AB30" i="6" s="1"/>
  <c r="AA55" i="6"/>
  <c r="AB55" i="6" s="1"/>
  <c r="AA45" i="6"/>
  <c r="AB45" i="6" s="1"/>
  <c r="AA48" i="6"/>
  <c r="AB48" i="6" s="1"/>
  <c r="AA65" i="6"/>
  <c r="AB65" i="6" s="1"/>
  <c r="AA18" i="6"/>
  <c r="AB18" i="6" s="1"/>
  <c r="AA38" i="6"/>
  <c r="AB38" i="6" s="1"/>
  <c r="AA46" i="6"/>
  <c r="AB46" i="6" s="1"/>
  <c r="AA56" i="6"/>
  <c r="AB56" i="6" s="1"/>
  <c r="AA9" i="6"/>
  <c r="AB9" i="6" s="1"/>
  <c r="AA24" i="6"/>
  <c r="AB24" i="6" s="1"/>
  <c r="AA80" i="6"/>
  <c r="AB80" i="6" s="1"/>
  <c r="AA84" i="6"/>
  <c r="AB84" i="6" s="1"/>
  <c r="Z51" i="5"/>
  <c r="Z52" i="5"/>
  <c r="Z45" i="5"/>
  <c r="Z63" i="5"/>
  <c r="Z69" i="5"/>
  <c r="Z12" i="5"/>
  <c r="Z30" i="5"/>
  <c r="Z49" i="5"/>
  <c r="Z67" i="5"/>
  <c r="Z5" i="5"/>
  <c r="Z23" i="5"/>
  <c r="Z42" i="5"/>
  <c r="Z60" i="5"/>
  <c r="Z16" i="5"/>
  <c r="Z34" i="5"/>
  <c r="Z53" i="5"/>
  <c r="Z27" i="5"/>
  <c r="Z46" i="5"/>
  <c r="Z64" i="5"/>
  <c r="Z37" i="5"/>
  <c r="Z55" i="5"/>
  <c r="Z48" i="5"/>
  <c r="Z66" i="5"/>
  <c r="Z44" i="5"/>
  <c r="Z62" i="5"/>
  <c r="Z41" i="5"/>
  <c r="Z59" i="5"/>
  <c r="Z39" i="5"/>
  <c r="Z57" i="5"/>
  <c r="Z13" i="5"/>
  <c r="Z31" i="5"/>
  <c r="Z50" i="5"/>
  <c r="Z68" i="5"/>
  <c r="Z43" i="5"/>
  <c r="Z61" i="5"/>
  <c r="Z54" i="5"/>
  <c r="Z47" i="5"/>
  <c r="Z65" i="5"/>
  <c r="Z40" i="5"/>
  <c r="Z58" i="5"/>
  <c r="Z20" i="5"/>
  <c r="Z9" i="5"/>
  <c r="Z35" i="5"/>
  <c r="Z17" i="5"/>
  <c r="Z15" i="5"/>
  <c r="Z33" i="5"/>
  <c r="Z8" i="5"/>
  <c r="Z26" i="5"/>
  <c r="Z7" i="5"/>
  <c r="Z25" i="5"/>
  <c r="Z10" i="5"/>
  <c r="Z28" i="5"/>
  <c r="Z11" i="5"/>
  <c r="Z29" i="5"/>
  <c r="Z6" i="5"/>
  <c r="Z24" i="5"/>
  <c r="Z3" i="5"/>
  <c r="Z21" i="5"/>
  <c r="Z18" i="5"/>
  <c r="Z4" i="5"/>
  <c r="Z22" i="5"/>
  <c r="Z43" i="4"/>
  <c r="Z61" i="4"/>
  <c r="Z42" i="4"/>
  <c r="Z60" i="4"/>
  <c r="Z67" i="4"/>
  <c r="Z44" i="4"/>
  <c r="Z62" i="4"/>
  <c r="Z37" i="4"/>
  <c r="Z55" i="4"/>
  <c r="Z15" i="4"/>
  <c r="Z33" i="4"/>
  <c r="Z53" i="4"/>
  <c r="Z8" i="4"/>
  <c r="Z26" i="4"/>
  <c r="Z46" i="4"/>
  <c r="Z64" i="4"/>
  <c r="Z19" i="4"/>
  <c r="Z39" i="4"/>
  <c r="Z57" i="4"/>
  <c r="Z12" i="4"/>
  <c r="Z30" i="4"/>
  <c r="Z50" i="4"/>
  <c r="Z68" i="4"/>
  <c r="Z16" i="4"/>
  <c r="Z34" i="4"/>
  <c r="Z54" i="4"/>
  <c r="Z9" i="4"/>
  <c r="Z27" i="4"/>
  <c r="Z47" i="4"/>
  <c r="Z65" i="4"/>
  <c r="Z20" i="4"/>
  <c r="Z40" i="4"/>
  <c r="Z58" i="4"/>
  <c r="Z13" i="4"/>
  <c r="Z31" i="4"/>
  <c r="Z51" i="4"/>
</calcChain>
</file>

<file path=xl/sharedStrings.xml><?xml version="1.0" encoding="utf-8"?>
<sst xmlns="http://schemas.openxmlformats.org/spreadsheetml/2006/main" count="834" uniqueCount="79">
  <si>
    <t>I/O_1.8V</t>
    <phoneticPr fontId="2" type="noConversion"/>
  </si>
  <si>
    <t>DIG_1V</t>
    <phoneticPr fontId="2" type="noConversion"/>
  </si>
  <si>
    <t>ANA_1.8V</t>
    <phoneticPr fontId="2" type="noConversion"/>
  </si>
  <si>
    <t>V</t>
    <phoneticPr fontId="2" type="noConversion"/>
  </si>
  <si>
    <t>common</t>
    <phoneticPr fontId="2" type="noConversion"/>
  </si>
  <si>
    <t>channel</t>
    <phoneticPr fontId="2" type="noConversion"/>
  </si>
  <si>
    <r>
      <t>4V_P</t>
    </r>
    <r>
      <rPr>
        <sz val="11"/>
        <color theme="1"/>
        <rFont val="맑은 고딕"/>
        <family val="2"/>
        <charset val="129"/>
      </rPr>
      <t>(W)</t>
    </r>
    <phoneticPr fontId="2" type="noConversion"/>
  </si>
  <si>
    <t>A</t>
    <phoneticPr fontId="2" type="noConversion"/>
  </si>
  <si>
    <t>I/O_1.8V_P(W)</t>
    <phoneticPr fontId="2" type="noConversion"/>
  </si>
  <si>
    <t>DIG_1V_P(W)</t>
    <phoneticPr fontId="2" type="noConversion"/>
  </si>
  <si>
    <t>ANA_1.8V_P(W)</t>
    <phoneticPr fontId="2" type="noConversion"/>
  </si>
  <si>
    <t>DRV_1.8V_P(W)</t>
    <phoneticPr fontId="2" type="noConversion"/>
  </si>
  <si>
    <t>Index</t>
    <phoneticPr fontId="2" type="noConversion"/>
  </si>
  <si>
    <t>B0</t>
  </si>
  <si>
    <t>B0</t>
    <phoneticPr fontId="2" type="noConversion"/>
  </si>
  <si>
    <t>B1</t>
  </si>
  <si>
    <t>H0</t>
  </si>
  <si>
    <t>H0</t>
    <phoneticPr fontId="2" type="noConversion"/>
  </si>
  <si>
    <t>B1</t>
    <phoneticPr fontId="2" type="noConversion"/>
  </si>
  <si>
    <t>V0</t>
  </si>
  <si>
    <t>V0</t>
    <phoneticPr fontId="2" type="noConversion"/>
  </si>
  <si>
    <t>Data</t>
    <phoneticPr fontId="2" type="noConversion"/>
  </si>
  <si>
    <t>V3</t>
    <phoneticPr fontId="2" type="noConversion"/>
  </si>
  <si>
    <t>Freq. (MHz)</t>
    <phoneticPr fontId="2" type="noConversion"/>
  </si>
  <si>
    <t>Pin (dBm)</t>
    <phoneticPr fontId="2" type="noConversion"/>
  </si>
  <si>
    <t>Pout (dBm)</t>
    <phoneticPr fontId="2" type="noConversion"/>
  </si>
  <si>
    <t>Gain (dB)</t>
    <phoneticPr fontId="2" type="noConversion"/>
  </si>
  <si>
    <t>data_temp_Pin (adc)</t>
    <phoneticPr fontId="2" type="noConversion"/>
  </si>
  <si>
    <t>temp (degC)</t>
    <phoneticPr fontId="2" type="noConversion"/>
  </si>
  <si>
    <r>
      <t xml:space="preserve">Psum </t>
    </r>
    <r>
      <rPr>
        <sz val="11"/>
        <color theme="1"/>
        <rFont val="맑은 고딕"/>
        <family val="2"/>
        <charset val="129"/>
      </rPr>
      <t>(W)</t>
    </r>
    <phoneticPr fontId="2" type="noConversion"/>
  </si>
  <si>
    <t>Ideal Gain (dB)</t>
    <phoneticPr fontId="2" type="noConversion"/>
  </si>
  <si>
    <t>IDLE PDC</t>
    <phoneticPr fontId="2" type="noConversion"/>
  </si>
  <si>
    <t xml:space="preserve"> mW</t>
    <phoneticPr fontId="2" type="noConversion"/>
  </si>
  <si>
    <t>Without</t>
    <phoneticPr fontId="2" type="noConversion"/>
  </si>
  <si>
    <r>
      <rPr>
        <sz val="11"/>
        <color theme="1"/>
        <rFont val="맑은 고딕"/>
        <family val="2"/>
        <charset val="129"/>
      </rPr>
      <t>LN</t>
    </r>
    <r>
      <rPr>
        <sz val="11"/>
        <color theme="1"/>
        <rFont val="Noto Sans KR"/>
        <family val="2"/>
        <charset val="129"/>
      </rPr>
      <t>A_</t>
    </r>
    <r>
      <rPr>
        <sz val="11"/>
        <color theme="1"/>
        <rFont val="맑은 고딕"/>
        <family val="2"/>
        <charset val="129"/>
      </rPr>
      <t>1.5</t>
    </r>
    <r>
      <rPr>
        <sz val="11"/>
        <color theme="1"/>
        <rFont val="Noto Sans KR"/>
        <family val="2"/>
        <charset val="129"/>
      </rPr>
      <t>V</t>
    </r>
    <phoneticPr fontId="2" type="noConversion"/>
  </si>
  <si>
    <t>DRV_1V</t>
    <phoneticPr fontId="2" type="noConversion"/>
  </si>
  <si>
    <t>Note: IDLE PDC : 19.3 mW</t>
    <phoneticPr fontId="2" type="noConversion"/>
  </si>
  <si>
    <t>H1</t>
  </si>
  <si>
    <t>IP1dB</t>
    <phoneticPr fontId="2" type="noConversion"/>
  </si>
  <si>
    <t>B2</t>
  </si>
  <si>
    <t>V1</t>
  </si>
  <si>
    <r>
      <rPr>
        <sz val="11"/>
        <color theme="1"/>
        <rFont val="맑은 고딕"/>
        <family val="2"/>
        <charset val="129"/>
      </rPr>
      <t>LN</t>
    </r>
    <r>
      <rPr>
        <sz val="11"/>
        <color theme="1"/>
        <rFont val="Noto Sans KR"/>
        <family val="2"/>
        <charset val="129"/>
      </rPr>
      <t>A</t>
    </r>
    <r>
      <rPr>
        <sz val="11"/>
        <color theme="1"/>
        <rFont val="맑은 고딕"/>
        <family val="2"/>
        <charset val="129"/>
      </rPr>
      <t>_1.5</t>
    </r>
    <r>
      <rPr>
        <sz val="11"/>
        <color theme="1"/>
        <rFont val="Noto Sans KR"/>
        <family val="2"/>
        <charset val="129"/>
      </rPr>
      <t>V</t>
    </r>
    <phoneticPr fontId="2" type="noConversion"/>
  </si>
  <si>
    <r>
      <t>B</t>
    </r>
    <r>
      <rPr>
        <sz val="11"/>
        <color theme="1"/>
        <rFont val="맑은 고딕"/>
        <family val="2"/>
        <charset val="129"/>
      </rPr>
      <t>1</t>
    </r>
    <phoneticPr fontId="2" type="noConversion"/>
  </si>
  <si>
    <r>
      <rPr>
        <sz val="11"/>
        <color theme="1"/>
        <rFont val="맑은 고딕"/>
        <family val="2"/>
        <charset val="129"/>
      </rPr>
      <t>V</t>
    </r>
    <r>
      <rPr>
        <sz val="11"/>
        <color theme="1"/>
        <rFont val="Noto Sans KR"/>
        <family val="2"/>
        <charset val="128"/>
      </rPr>
      <t>0</t>
    </r>
    <phoneticPr fontId="2" type="noConversion"/>
  </si>
  <si>
    <t>Current(mW)</t>
    <phoneticPr fontId="2" type="noConversion"/>
  </si>
  <si>
    <t xml:space="preserve">                                  V 
Pout(dBm)</t>
    <phoneticPr fontId="2" type="noConversion"/>
  </si>
  <si>
    <t>ALL Off(Leakage)</t>
    <phoneticPr fontId="2" type="noConversion"/>
  </si>
  <si>
    <t>Leakage Current</t>
    <phoneticPr fontId="2" type="noConversion"/>
  </si>
  <si>
    <t>1V(mW)</t>
    <phoneticPr fontId="2" type="noConversion"/>
  </si>
  <si>
    <t>1.8(mW)</t>
    <phoneticPr fontId="2" type="noConversion"/>
  </si>
  <si>
    <t>2(mW)</t>
    <phoneticPr fontId="2" type="noConversion"/>
  </si>
  <si>
    <t>1CC (64QAM_FULL_RB_CP_UL)</t>
    <phoneticPr fontId="2" type="noConversion"/>
  </si>
  <si>
    <t>Continous Wave</t>
    <phoneticPr fontId="2" type="noConversion"/>
  </si>
  <si>
    <t>Modulation
(UL_64QAM_FullRB_CP_4CC)</t>
    <phoneticPr fontId="2" type="noConversion"/>
  </si>
  <si>
    <t>Baseline (%)</t>
    <phoneticPr fontId="2" type="noConversion"/>
  </si>
  <si>
    <t>Pin 
(dBm)</t>
    <phoneticPr fontId="2" type="noConversion"/>
  </si>
  <si>
    <t>Pout 
(dBm)</t>
    <phoneticPr fontId="2" type="noConversion"/>
  </si>
  <si>
    <t>Pin
(mW)</t>
    <phoneticPr fontId="2" type="noConversion"/>
  </si>
  <si>
    <t>Pout
(mW)</t>
    <phoneticPr fontId="2" type="noConversion"/>
  </si>
  <si>
    <t>Gain</t>
    <phoneticPr fontId="2" type="noConversion"/>
  </si>
  <si>
    <t>1V
(mA)</t>
    <phoneticPr fontId="2" type="noConversion"/>
  </si>
  <si>
    <t>1.8V
(mA)</t>
    <phoneticPr fontId="2" type="noConversion"/>
  </si>
  <si>
    <t>4V
(mA)</t>
    <phoneticPr fontId="2" type="noConversion"/>
  </si>
  <si>
    <t>Current 
(mA)</t>
    <phoneticPr fontId="2" type="noConversion"/>
  </si>
  <si>
    <t>1V
(mW)</t>
    <phoneticPr fontId="2" type="noConversion"/>
  </si>
  <si>
    <t>1.8V
(mW)</t>
    <phoneticPr fontId="2" type="noConversion"/>
  </si>
  <si>
    <t>4V
(mW)</t>
    <phoneticPr fontId="2" type="noConversion"/>
  </si>
  <si>
    <t>Sum
(mW)</t>
    <phoneticPr fontId="2" type="noConversion"/>
  </si>
  <si>
    <t>Sum - Leakage*7/8
(mW)</t>
    <phoneticPr fontId="2" type="noConversion"/>
  </si>
  <si>
    <t>Pout - Pin
(mW)</t>
    <phoneticPr fontId="2" type="noConversion"/>
  </si>
  <si>
    <t>PAE
(%)</t>
    <phoneticPr fontId="2" type="noConversion"/>
  </si>
  <si>
    <t>Efficiency
(%)</t>
    <phoneticPr fontId="2" type="noConversion"/>
  </si>
  <si>
    <t>Meas EVM (%)</t>
    <phoneticPr fontId="2" type="noConversion"/>
  </si>
  <si>
    <t>ACP
(dBc)</t>
    <phoneticPr fontId="2" type="noConversion"/>
  </si>
  <si>
    <t>Leakage Power
(mW)</t>
    <phoneticPr fontId="2" type="noConversion"/>
  </si>
  <si>
    <t>Leakage Current Sum
(mA)</t>
    <phoneticPr fontId="2" type="noConversion"/>
  </si>
  <si>
    <t>H-Common | H0 | RX | Max Gain | Phase 0 | Freq 28G</t>
    <phoneticPr fontId="2" type="noConversion"/>
  </si>
  <si>
    <t>EVM Additive 
(%)</t>
    <phoneticPr fontId="2" type="noConversion"/>
  </si>
  <si>
    <r>
      <rPr>
        <b/>
        <sz val="11"/>
        <color theme="1"/>
        <rFont val="맑은 고딕"/>
        <family val="3"/>
        <charset val="129"/>
        <scheme val="major"/>
      </rPr>
      <t xml:space="preserve">Note : </t>
    </r>
    <r>
      <rPr>
        <sz val="11"/>
        <color theme="1"/>
        <rFont val="맑은 고딕"/>
        <family val="3"/>
        <charset val="129"/>
        <scheme val="major"/>
      </rPr>
      <t xml:space="preserve">
- set_beam_set &lt;chip id&gt; &lt;index&gt; &lt;RXTX&gt;&lt;pol&gt; &lt;CH0 GAIN&gt; &lt;CH0 PH&gt; ... &lt;CH3 GAIN&gt; &lt;CH3 PH&gt;
- RX : set_beam_set 63 0 </t>
    </r>
    <r>
      <rPr>
        <b/>
        <sz val="11"/>
        <color theme="1"/>
        <rFont val="맑은 고딕"/>
        <family val="3"/>
        <charset val="129"/>
        <scheme val="major"/>
      </rPr>
      <t>1(RX)</t>
    </r>
    <r>
      <rPr>
        <sz val="11"/>
        <color theme="1"/>
        <rFont val="맑은 고딕"/>
        <family val="3"/>
        <charset val="129"/>
        <scheme val="major"/>
      </rPr>
      <t xml:space="preserve"> 0 </t>
    </r>
    <r>
      <rPr>
        <b/>
        <sz val="11"/>
        <color theme="1"/>
        <rFont val="맑은 고딕"/>
        <family val="3"/>
        <charset val="129"/>
        <scheme val="major"/>
      </rPr>
      <t>32(H0 Max Gain)</t>
    </r>
    <r>
      <rPr>
        <sz val="11"/>
        <color theme="1"/>
        <rFont val="맑은 고딕"/>
        <family val="3"/>
        <charset val="129"/>
        <scheme val="major"/>
      </rPr>
      <t xml:space="preserve"> 0.0 32 0.0 32 0.0 32 0.0 ▶ RX Gain Index range is 17 to 32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</si>
</sst>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0.00_ "/>
    <numFmt numFmtId="177" formatCode="0_ "/>
    <numFmt numFmtId="178" formatCode="0.000_ "/>
    <numFmt numFmtId="179" formatCode="0.00_);[Red]\(0.00\)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Noto Sans KR"/>
      <family val="2"/>
      <charset val="129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</font>
    <font>
      <sz val="11"/>
      <color theme="1"/>
      <name val="Noto Sans KR"/>
      <family val="2"/>
      <charset val="128"/>
    </font>
    <font>
      <b/>
      <sz val="16"/>
      <color theme="1"/>
      <name val="Noto Sans KR"/>
      <family val="2"/>
      <charset val="128"/>
    </font>
    <font>
      <sz val="11"/>
      <color theme="1"/>
      <name val="Noto Sans KR"/>
      <family val="2"/>
    </font>
    <font>
      <b/>
      <sz val="11"/>
      <color theme="1"/>
      <name val="Noto Sans KR"/>
      <family val="2"/>
    </font>
    <font>
      <b/>
      <sz val="11"/>
      <color theme="1"/>
      <name val="Noto Sans KR"/>
      <family val="2"/>
      <charset val="129"/>
    </font>
    <font>
      <b/>
      <sz val="16"/>
      <color theme="1"/>
      <name val="Noto Sans KR"/>
      <family val="2"/>
      <charset val="129"/>
    </font>
    <font>
      <b/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ajor"/>
    </font>
    <font>
      <b/>
      <sz val="11"/>
      <color theme="1"/>
      <name val="맑은 고딕"/>
      <family val="2"/>
      <charset val="129"/>
      <scheme val="major"/>
    </font>
    <font>
      <sz val="11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1"/>
      <color rgb="FFFF0000"/>
      <name val="맑은 고딕"/>
      <family val="3"/>
      <charset val="129"/>
      <scheme val="major"/>
    </font>
    <font>
      <sz val="11"/>
      <color theme="0"/>
      <name val="맑은 고딕"/>
      <family val="2"/>
      <charset val="129"/>
      <scheme val="major"/>
    </font>
    <font>
      <b/>
      <sz val="11"/>
      <color theme="0"/>
      <name val="맑은 고딕"/>
      <family val="3"/>
      <charset val="129"/>
      <scheme val="maj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176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center" vertical="center"/>
    </xf>
    <xf numFmtId="177" fontId="1" fillId="0" borderId="0" xfId="0" applyNumberFormat="1" applyFont="1">
      <alignment vertical="center"/>
    </xf>
    <xf numFmtId="178" fontId="1" fillId="0" borderId="0" xfId="0" applyNumberFormat="1" applyFont="1" applyAlignment="1">
      <alignment horizontal="right" vertical="center"/>
    </xf>
    <xf numFmtId="177" fontId="1" fillId="0" borderId="2" xfId="0" applyNumberFormat="1" applyFont="1" applyBorder="1" applyAlignment="1">
      <alignment horizontal="center" vertical="top"/>
    </xf>
    <xf numFmtId="177" fontId="4" fillId="0" borderId="2" xfId="0" applyNumberFormat="1" applyFont="1" applyBorder="1" applyAlignment="1">
      <alignment horizontal="right"/>
    </xf>
    <xf numFmtId="176" fontId="4" fillId="0" borderId="2" xfId="0" applyNumberFormat="1" applyFont="1" applyBorder="1" applyAlignment="1">
      <alignment horizontal="right"/>
    </xf>
    <xf numFmtId="176" fontId="4" fillId="0" borderId="2" xfId="0" applyNumberFormat="1" applyFont="1" applyBorder="1" applyAlignment="1">
      <alignment horizontal="center"/>
    </xf>
    <xf numFmtId="176" fontId="1" fillId="0" borderId="2" xfId="0" applyNumberFormat="1" applyFont="1" applyBorder="1" applyAlignment="1">
      <alignment horizontal="center" vertical="center"/>
    </xf>
    <xf numFmtId="178" fontId="4" fillId="0" borderId="2" xfId="0" applyNumberFormat="1" applyFont="1" applyBorder="1" applyAlignment="1">
      <alignment horizontal="right"/>
    </xf>
    <xf numFmtId="178" fontId="1" fillId="0" borderId="2" xfId="0" applyNumberFormat="1" applyFont="1" applyBorder="1" applyAlignment="1">
      <alignment horizontal="right" vertical="center"/>
    </xf>
    <xf numFmtId="176" fontId="1" fillId="0" borderId="2" xfId="0" applyNumberFormat="1" applyFont="1" applyBorder="1" applyAlignment="1">
      <alignment horizontal="right" vertical="center"/>
    </xf>
    <xf numFmtId="177" fontId="1" fillId="0" borderId="3" xfId="0" applyNumberFormat="1" applyFont="1" applyBorder="1" applyAlignment="1">
      <alignment horizontal="center" vertical="top"/>
    </xf>
    <xf numFmtId="176" fontId="1" fillId="0" borderId="3" xfId="0" applyNumberFormat="1" applyFont="1" applyBorder="1" applyAlignment="1">
      <alignment horizontal="right" vertical="center"/>
    </xf>
    <xf numFmtId="176" fontId="1" fillId="0" borderId="3" xfId="0" applyNumberFormat="1" applyFont="1" applyBorder="1" applyAlignment="1">
      <alignment horizontal="center" vertical="center"/>
    </xf>
    <xf numFmtId="178" fontId="1" fillId="0" borderId="3" xfId="0" applyNumberFormat="1" applyFont="1" applyBorder="1" applyAlignment="1">
      <alignment horizontal="right" vertical="center"/>
    </xf>
    <xf numFmtId="178" fontId="4" fillId="2" borderId="2" xfId="0" applyNumberFormat="1" applyFont="1" applyFill="1" applyBorder="1" applyAlignment="1">
      <alignment horizontal="center" vertical="center"/>
    </xf>
    <xf numFmtId="177" fontId="1" fillId="3" borderId="2" xfId="0" applyNumberFormat="1" applyFont="1" applyFill="1" applyBorder="1" applyAlignment="1">
      <alignment horizontal="center" vertical="top"/>
    </xf>
    <xf numFmtId="177" fontId="4" fillId="3" borderId="2" xfId="0" applyNumberFormat="1" applyFont="1" applyFill="1" applyBorder="1" applyAlignment="1">
      <alignment horizontal="right"/>
    </xf>
    <xf numFmtId="176" fontId="4" fillId="3" borderId="2" xfId="0" applyNumberFormat="1" applyFont="1" applyFill="1" applyBorder="1" applyAlignment="1">
      <alignment horizontal="right"/>
    </xf>
    <xf numFmtId="176" fontId="4" fillId="3" borderId="2" xfId="0" applyNumberFormat="1" applyFont="1" applyFill="1" applyBorder="1" applyAlignment="1">
      <alignment horizontal="center"/>
    </xf>
    <xf numFmtId="176" fontId="1" fillId="3" borderId="2" xfId="0" applyNumberFormat="1" applyFont="1" applyFill="1" applyBorder="1" applyAlignment="1">
      <alignment horizontal="center" vertical="center"/>
    </xf>
    <xf numFmtId="178" fontId="4" fillId="3" borderId="2" xfId="0" applyNumberFormat="1" applyFont="1" applyFill="1" applyBorder="1" applyAlignment="1">
      <alignment horizontal="right"/>
    </xf>
    <xf numFmtId="178" fontId="1" fillId="3" borderId="2" xfId="0" applyNumberFormat="1" applyFont="1" applyFill="1" applyBorder="1" applyAlignment="1">
      <alignment horizontal="right" vertical="center"/>
    </xf>
    <xf numFmtId="0" fontId="1" fillId="3" borderId="0" xfId="0" applyFont="1" applyFill="1">
      <alignment vertical="center"/>
    </xf>
    <xf numFmtId="176" fontId="3" fillId="0" borderId="2" xfId="0" applyNumberFormat="1" applyFont="1" applyBorder="1" applyAlignment="1">
      <alignment horizontal="center"/>
    </xf>
    <xf numFmtId="176" fontId="3" fillId="3" borderId="2" xfId="0" applyNumberFormat="1" applyFont="1" applyFill="1" applyBorder="1" applyAlignment="1">
      <alignment horizontal="center"/>
    </xf>
    <xf numFmtId="176" fontId="1" fillId="0" borderId="0" xfId="0" applyNumberFormat="1" applyFont="1">
      <alignment vertical="center"/>
    </xf>
    <xf numFmtId="177" fontId="1" fillId="4" borderId="2" xfId="0" applyNumberFormat="1" applyFont="1" applyFill="1" applyBorder="1" applyAlignment="1">
      <alignment horizontal="center" vertical="top"/>
    </xf>
    <xf numFmtId="177" fontId="4" fillId="4" borderId="2" xfId="0" applyNumberFormat="1" applyFont="1" applyFill="1" applyBorder="1" applyAlignment="1">
      <alignment horizontal="right"/>
    </xf>
    <xf numFmtId="176" fontId="4" fillId="4" borderId="2" xfId="0" applyNumberFormat="1" applyFont="1" applyFill="1" applyBorder="1" applyAlignment="1">
      <alignment horizontal="right"/>
    </xf>
    <xf numFmtId="176" fontId="4" fillId="4" borderId="2" xfId="0" applyNumberFormat="1" applyFont="1" applyFill="1" applyBorder="1" applyAlignment="1">
      <alignment horizontal="center"/>
    </xf>
    <xf numFmtId="176" fontId="3" fillId="4" borderId="2" xfId="0" applyNumberFormat="1" applyFont="1" applyFill="1" applyBorder="1" applyAlignment="1">
      <alignment horizontal="center"/>
    </xf>
    <xf numFmtId="176" fontId="1" fillId="4" borderId="2" xfId="0" applyNumberFormat="1" applyFont="1" applyFill="1" applyBorder="1" applyAlignment="1">
      <alignment horizontal="center" vertical="center"/>
    </xf>
    <xf numFmtId="178" fontId="4" fillId="4" borderId="2" xfId="0" applyNumberFormat="1" applyFont="1" applyFill="1" applyBorder="1" applyAlignment="1">
      <alignment horizontal="right"/>
    </xf>
    <xf numFmtId="178" fontId="1" fillId="4" borderId="2" xfId="0" applyNumberFormat="1" applyFont="1" applyFill="1" applyBorder="1" applyAlignment="1">
      <alignment horizontal="right" vertical="center"/>
    </xf>
    <xf numFmtId="176" fontId="1" fillId="4" borderId="2" xfId="0" applyNumberFormat="1" applyFont="1" applyFill="1" applyBorder="1" applyAlignment="1">
      <alignment horizontal="right" vertical="center"/>
    </xf>
    <xf numFmtId="176" fontId="3" fillId="4" borderId="2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79" fontId="6" fillId="0" borderId="0" xfId="0" applyNumberFormat="1" applyFont="1" applyAlignment="1">
      <alignment horizontal="center" vertical="center"/>
    </xf>
    <xf numFmtId="179" fontId="1" fillId="0" borderId="0" xfId="0" applyNumberFormat="1" applyFont="1" applyAlignment="1">
      <alignment horizontal="center" vertical="center"/>
    </xf>
    <xf numFmtId="179" fontId="1" fillId="0" borderId="0" xfId="0" applyNumberFormat="1" applyFont="1">
      <alignment vertical="center"/>
    </xf>
    <xf numFmtId="0" fontId="0" fillId="0" borderId="0" xfId="0" applyAlignment="1"/>
    <xf numFmtId="0" fontId="0" fillId="3" borderId="0" xfId="0" applyFill="1" applyAlignment="1"/>
    <xf numFmtId="0" fontId="10" fillId="0" borderId="4" xfId="0" applyFont="1" applyBorder="1" applyAlignment="1">
      <alignment horizontal="center" vertical="top"/>
    </xf>
    <xf numFmtId="176" fontId="3" fillId="0" borderId="2" xfId="0" applyNumberFormat="1" applyFont="1" applyBorder="1" applyAlignment="1">
      <alignment horizontal="center" vertical="center"/>
    </xf>
    <xf numFmtId="176" fontId="1" fillId="0" borderId="2" xfId="0" applyNumberFormat="1" applyFont="1" applyBorder="1" applyAlignment="1">
      <alignment horizontal="center"/>
    </xf>
    <xf numFmtId="177" fontId="1" fillId="2" borderId="2" xfId="0" applyNumberFormat="1" applyFont="1" applyFill="1" applyBorder="1" applyAlignment="1">
      <alignment horizontal="center" vertical="center"/>
    </xf>
    <xf numFmtId="177" fontId="4" fillId="2" borderId="2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 wrapText="1"/>
    </xf>
    <xf numFmtId="176" fontId="4" fillId="2" borderId="1" xfId="0" applyNumberFormat="1" applyFont="1" applyFill="1" applyBorder="1" applyAlignment="1">
      <alignment horizontal="center" vertical="center" wrapText="1"/>
    </xf>
    <xf numFmtId="176" fontId="4" fillId="2" borderId="2" xfId="0" applyNumberFormat="1" applyFont="1" applyFill="1" applyBorder="1" applyAlignment="1">
      <alignment horizontal="center" vertical="center"/>
    </xf>
    <xf numFmtId="178" fontId="1" fillId="2" borderId="1" xfId="0" applyNumberFormat="1" applyFont="1" applyFill="1" applyBorder="1" applyAlignment="1">
      <alignment horizontal="center" vertical="center"/>
    </xf>
    <xf numFmtId="176" fontId="1" fillId="2" borderId="0" xfId="0" applyNumberFormat="1" applyFont="1" applyFill="1" applyAlignment="1">
      <alignment horizontal="center" vertical="center" wrapText="1"/>
    </xf>
    <xf numFmtId="176" fontId="1" fillId="2" borderId="1" xfId="0" applyNumberFormat="1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 wrapText="1"/>
    </xf>
    <xf numFmtId="178" fontId="4" fillId="2" borderId="2" xfId="0" applyNumberFormat="1" applyFont="1" applyFill="1" applyBorder="1" applyAlignment="1">
      <alignment horizontal="center" vertical="center"/>
    </xf>
    <xf numFmtId="177" fontId="1" fillId="2" borderId="0" xfId="0" applyNumberFormat="1" applyFont="1" applyFill="1" applyAlignment="1">
      <alignment horizontal="center" vertical="center"/>
    </xf>
    <xf numFmtId="177" fontId="1" fillId="2" borderId="1" xfId="0" applyNumberFormat="1" applyFont="1" applyFill="1" applyBorder="1" applyAlignment="1">
      <alignment horizontal="center" vertical="center"/>
    </xf>
    <xf numFmtId="177" fontId="4" fillId="2" borderId="0" xfId="0" applyNumberFormat="1" applyFont="1" applyFill="1" applyAlignment="1">
      <alignment horizontal="center" vertical="center" wrapText="1"/>
    </xf>
    <xf numFmtId="177" fontId="4" fillId="2" borderId="1" xfId="0" applyNumberFormat="1" applyFont="1" applyFill="1" applyBorder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 wrapText="1"/>
    </xf>
    <xf numFmtId="176" fontId="4" fillId="2" borderId="0" xfId="0" applyNumberFormat="1" applyFont="1" applyFill="1" applyAlignment="1">
      <alignment horizontal="center" vertical="center"/>
    </xf>
    <xf numFmtId="176" fontId="4" fillId="2" borderId="1" xfId="0" applyNumberFormat="1" applyFont="1" applyFill="1" applyBorder="1" applyAlignment="1">
      <alignment horizontal="center" vertical="center"/>
    </xf>
    <xf numFmtId="178" fontId="1" fillId="2" borderId="2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left" vertical="top"/>
    </xf>
    <xf numFmtId="0" fontId="5" fillId="0" borderId="0" xfId="0" applyFont="1" applyAlignment="1">
      <alignment horizontal="left" vertical="top"/>
    </xf>
    <xf numFmtId="176" fontId="1" fillId="2" borderId="2" xfId="0" applyNumberFormat="1" applyFont="1" applyFill="1" applyBorder="1" applyAlignment="1">
      <alignment horizontal="center" vertical="center" wrapText="1"/>
    </xf>
    <xf numFmtId="178" fontId="4" fillId="2" borderId="0" xfId="0" applyNumberFormat="1" applyFont="1" applyFill="1" applyAlignment="1">
      <alignment horizontal="center" vertical="center" wrapText="1"/>
    </xf>
    <xf numFmtId="178" fontId="4" fillId="2" borderId="1" xfId="0" applyNumberFormat="1" applyFont="1" applyFill="1" applyBorder="1" applyAlignment="1">
      <alignment horizontal="center" vertical="center"/>
    </xf>
    <xf numFmtId="0" fontId="11" fillId="0" borderId="0" xfId="0" applyFont="1">
      <alignment vertical="center"/>
    </xf>
    <xf numFmtId="0" fontId="11" fillId="0" borderId="5" xfId="0" applyFont="1" applyBorder="1">
      <alignment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4" xfId="0" applyFont="1" applyBorder="1">
      <alignment vertical="center"/>
    </xf>
    <xf numFmtId="0" fontId="14" fillId="0" borderId="6" xfId="0" quotePrefix="1" applyFont="1" applyBorder="1" applyAlignment="1">
      <alignment horizontal="left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7" xfId="0" applyFont="1" applyBorder="1" applyAlignment="1">
      <alignment horizontal="center" vertical="center"/>
    </xf>
    <xf numFmtId="0" fontId="14" fillId="0" borderId="8" xfId="0" applyFont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13" fillId="2" borderId="11" xfId="0" applyFont="1" applyFill="1" applyBorder="1" applyAlignment="1">
      <alignment horizontal="center" vertical="center"/>
    </xf>
    <xf numFmtId="0" fontId="13" fillId="2" borderId="0" xfId="0" applyFont="1" applyFill="1" applyAlignment="1">
      <alignment horizontal="center" vertical="center"/>
    </xf>
    <xf numFmtId="0" fontId="15" fillId="4" borderId="12" xfId="0" applyFont="1" applyFill="1" applyBorder="1" applyAlignment="1">
      <alignment horizontal="center" vertical="center"/>
    </xf>
    <xf numFmtId="0" fontId="15" fillId="4" borderId="13" xfId="0" applyFont="1" applyFill="1" applyBorder="1" applyAlignment="1">
      <alignment horizontal="center" vertical="center"/>
    </xf>
    <xf numFmtId="0" fontId="15" fillId="4" borderId="0" xfId="0" applyFont="1" applyFill="1" applyAlignment="1">
      <alignment horizontal="center" vertical="center"/>
    </xf>
    <xf numFmtId="0" fontId="16" fillId="0" borderId="0" xfId="0" applyFont="1">
      <alignment vertical="center"/>
    </xf>
    <xf numFmtId="0" fontId="17" fillId="5" borderId="14" xfId="0" applyFont="1" applyFill="1" applyBorder="1" applyAlignment="1">
      <alignment horizontal="center" vertical="center"/>
    </xf>
    <xf numFmtId="0" fontId="17" fillId="5" borderId="15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5" borderId="16" xfId="0" applyFont="1" applyFill="1" applyBorder="1" applyAlignment="1">
      <alignment horizontal="center" vertical="center"/>
    </xf>
    <xf numFmtId="0" fontId="17" fillId="6" borderId="17" xfId="0" applyFont="1" applyFill="1" applyBorder="1" applyAlignment="1">
      <alignment horizontal="center" vertical="center"/>
    </xf>
    <xf numFmtId="0" fontId="17" fillId="6" borderId="0" xfId="0" applyFont="1" applyFill="1" applyAlignment="1">
      <alignment horizontal="center" vertical="center"/>
    </xf>
    <xf numFmtId="0" fontId="17" fillId="7" borderId="14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17" fillId="7" borderId="15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center" vertical="center" wrapText="1"/>
    </xf>
    <xf numFmtId="176" fontId="17" fillId="8" borderId="4" xfId="0" applyNumberFormat="1" applyFont="1" applyFill="1" applyBorder="1" applyAlignment="1">
      <alignment horizontal="center" vertical="center"/>
    </xf>
    <xf numFmtId="0" fontId="17" fillId="6" borderId="18" xfId="0" applyFont="1" applyFill="1" applyBorder="1" applyAlignment="1">
      <alignment horizontal="center" vertical="center"/>
    </xf>
    <xf numFmtId="0" fontId="17" fillId="6" borderId="19" xfId="0" applyFont="1" applyFill="1" applyBorder="1" applyAlignment="1">
      <alignment horizontal="center" vertical="center"/>
    </xf>
    <xf numFmtId="0" fontId="17" fillId="7" borderId="4" xfId="0" applyFont="1" applyFill="1" applyBorder="1" applyAlignment="1">
      <alignment horizontal="center" vertical="center" wrapText="1"/>
    </xf>
    <xf numFmtId="176" fontId="17" fillId="8" borderId="4" xfId="0" applyNumberFormat="1" applyFont="1" applyFill="1" applyBorder="1" applyAlignment="1">
      <alignment horizontal="center" vertical="center" wrapText="1"/>
    </xf>
    <xf numFmtId="0" fontId="17" fillId="6" borderId="4" xfId="0" applyFont="1" applyFill="1" applyBorder="1" applyAlignment="1">
      <alignment vertical="center" wrapText="1"/>
    </xf>
    <xf numFmtId="0" fontId="14" fillId="9" borderId="4" xfId="0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center" vertical="center"/>
    </xf>
    <xf numFmtId="176" fontId="14" fillId="0" borderId="14" xfId="0" applyNumberFormat="1" applyFont="1" applyBorder="1" applyAlignment="1">
      <alignment horizontal="center" vertical="center"/>
    </xf>
    <xf numFmtId="176" fontId="14" fillId="0" borderId="4" xfId="0" applyNumberFormat="1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>
      <alignment vertical="center"/>
    </xf>
    <xf numFmtId="0" fontId="11" fillId="0" borderId="0" xfId="0" applyFont="1" applyAlignment="1">
      <alignment horizontal="center" vertical="center"/>
    </xf>
    <xf numFmtId="0" fontId="13" fillId="0" borderId="4" xfId="0" applyFont="1" applyBorder="1" applyAlignment="1">
      <alignment horizontal="left" vertical="top" wrapText="1"/>
    </xf>
    <xf numFmtId="2" fontId="14" fillId="2" borderId="4" xfId="0" applyNumberFormat="1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176" fontId="14" fillId="2" borderId="4" xfId="0" applyNumberFormat="1" applyFont="1" applyFill="1" applyBorder="1" applyAlignment="1">
      <alignment horizontal="center" vertical="center"/>
    </xf>
    <xf numFmtId="0" fontId="14" fillId="4" borderId="4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/>
              <a:t>B0_H0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'Linearity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9.3008384010093322E-4"/>
                  <c:y val="-0.13184865954059424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263-40C9-A837-C425DF6154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'Linearity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D84-4872-9E9D-F64FA26A0694}"/>
            </c:ext>
          </c:extLst>
        </c:ser>
        <c:ser>
          <c:idx val="2"/>
          <c:order val="1"/>
          <c:tx>
            <c:strRef>
              <c:f>'Linearity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6.5105868807060555E-2"/>
                  <c:y val="-5.2439807771827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263-40C9-A837-C425DF61543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6831359238589"/>
                      <c:h val="6.25131314344028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7D84-4872-9E9D-F64FA26A0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'Linearity (Rx)'!$E$3:$E$35</c:f>
              <c:numCache>
                <c:formatCode>0.00_ </c:formatCode>
                <c:ptCount val="33"/>
                <c:pt idx="0">
                  <c:v>34.737181343366771</c:v>
                </c:pt>
                <c:pt idx="1">
                  <c:v>34.944285543366767</c:v>
                </c:pt>
                <c:pt idx="2">
                  <c:v>34.976205943366757</c:v>
                </c:pt>
                <c:pt idx="3">
                  <c:v>35.034615143366757</c:v>
                </c:pt>
                <c:pt idx="4">
                  <c:v>35.026554143366774</c:v>
                </c:pt>
                <c:pt idx="5">
                  <c:v>34.95434914336677</c:v>
                </c:pt>
                <c:pt idx="6">
                  <c:v>34.80259304336677</c:v>
                </c:pt>
                <c:pt idx="7">
                  <c:v>34.516519243366773</c:v>
                </c:pt>
                <c:pt idx="8">
                  <c:v>33.983282743366772</c:v>
                </c:pt>
                <c:pt idx="9">
                  <c:v>33.08657064336677</c:v>
                </c:pt>
                <c:pt idx="10">
                  <c:v>31.669058643366771</c:v>
                </c:pt>
                <c:pt idx="11">
                  <c:v>30.764800643366769</c:v>
                </c:pt>
                <c:pt idx="12">
                  <c:v>29.747351443366771</c:v>
                </c:pt>
                <c:pt idx="13">
                  <c:v>28.633500743366771</c:v>
                </c:pt>
                <c:pt idx="14">
                  <c:v>27.462170343366761</c:v>
                </c:pt>
                <c:pt idx="15">
                  <c:v>26.24470284336677</c:v>
                </c:pt>
                <c:pt idx="16">
                  <c:v>25.004995843366771</c:v>
                </c:pt>
                <c:pt idx="17">
                  <c:v>23.76380024336677</c:v>
                </c:pt>
                <c:pt idx="18">
                  <c:v>22.541042543366771</c:v>
                </c:pt>
                <c:pt idx="19">
                  <c:v>21.332890243366769</c:v>
                </c:pt>
                <c:pt idx="20">
                  <c:v>20.152981043366768</c:v>
                </c:pt>
                <c:pt idx="21">
                  <c:v>19.017765243366771</c:v>
                </c:pt>
                <c:pt idx="22">
                  <c:v>17.900049143366768</c:v>
                </c:pt>
                <c:pt idx="23">
                  <c:v>16.812045243366772</c:v>
                </c:pt>
                <c:pt idx="24">
                  <c:v>15.73613544336677</c:v>
                </c:pt>
                <c:pt idx="25">
                  <c:v>14.67536844336677</c:v>
                </c:pt>
                <c:pt idx="26">
                  <c:v>13.628010043366769</c:v>
                </c:pt>
                <c:pt idx="27">
                  <c:v>12.596537423366771</c:v>
                </c:pt>
                <c:pt idx="28">
                  <c:v>11.55746782336676</c:v>
                </c:pt>
                <c:pt idx="29">
                  <c:v>10.543376323366759</c:v>
                </c:pt>
                <c:pt idx="30">
                  <c:v>9.5450864233667652</c:v>
                </c:pt>
                <c:pt idx="31">
                  <c:v>8.5444382233667664</c:v>
                </c:pt>
                <c:pt idx="32">
                  <c:v>8.5444382233667664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D84-4872-9E9D-F64FA26A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'Linearity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2.5112263682723356E-2"/>
                  <c:y val="-0.1123710166539156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263-40C9-A837-C425DF615430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4447574225377"/>
                      <c:h val="5.79031286305899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7D84-4872-9E9D-F64FA26A069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'Linearity (Rx)'!$Z$3:$Z$35</c:f>
              <c:numCache>
                <c:formatCode>0.000_ </c:formatCode>
                <c:ptCount val="33"/>
                <c:pt idx="0">
                  <c:v>8.8570205095000007E-2</c:v>
                </c:pt>
                <c:pt idx="1">
                  <c:v>8.8829811293000022E-2</c:v>
                </c:pt>
                <c:pt idx="2">
                  <c:v>8.8935310137000012E-2</c:v>
                </c:pt>
                <c:pt idx="3">
                  <c:v>8.8919280331000008E-2</c:v>
                </c:pt>
                <c:pt idx="4">
                  <c:v>8.8992776704999998E-2</c:v>
                </c:pt>
                <c:pt idx="5">
                  <c:v>8.9182400149000002E-2</c:v>
                </c:pt>
                <c:pt idx="6">
                  <c:v>8.935528949499999E-2</c:v>
                </c:pt>
                <c:pt idx="7">
                  <c:v>8.9608777480000013E-2</c:v>
                </c:pt>
                <c:pt idx="8">
                  <c:v>8.9902834500000001E-2</c:v>
                </c:pt>
                <c:pt idx="9">
                  <c:v>9.0464634882999995E-2</c:v>
                </c:pt>
                <c:pt idx="10">
                  <c:v>9.0919241818000013E-2</c:v>
                </c:pt>
                <c:pt idx="11">
                  <c:v>9.1124003039999998E-2</c:v>
                </c:pt>
                <c:pt idx="12">
                  <c:v>9.1414520146999995E-2</c:v>
                </c:pt>
                <c:pt idx="13">
                  <c:v>9.1683704075000011E-2</c:v>
                </c:pt>
                <c:pt idx="14">
                  <c:v>9.1935691230000005E-2</c:v>
                </c:pt>
                <c:pt idx="15">
                  <c:v>9.2249776029000002E-2</c:v>
                </c:pt>
                <c:pt idx="16">
                  <c:v>9.2689986752999998E-2</c:v>
                </c:pt>
                <c:pt idx="17">
                  <c:v>9.3068863873000007E-2</c:v>
                </c:pt>
                <c:pt idx="18">
                  <c:v>9.3593312851000005E-2</c:v>
                </c:pt>
                <c:pt idx="19">
                  <c:v>9.4171683118000005E-2</c:v>
                </c:pt>
                <c:pt idx="20">
                  <c:v>9.4909107062000009E-2</c:v>
                </c:pt>
                <c:pt idx="21">
                  <c:v>9.5418281526999993E-2</c:v>
                </c:pt>
                <c:pt idx="22">
                  <c:v>9.6229969717000013E-2</c:v>
                </c:pt>
                <c:pt idx="23">
                  <c:v>9.6955935295999995E-2</c:v>
                </c:pt>
                <c:pt idx="24">
                  <c:v>9.7700197084000004E-2</c:v>
                </c:pt>
                <c:pt idx="25">
                  <c:v>9.8489614608999992E-2</c:v>
                </c:pt>
                <c:pt idx="26">
                  <c:v>9.9852679151000004E-2</c:v>
                </c:pt>
                <c:pt idx="27">
                  <c:v>0.10137733643399999</c:v>
                </c:pt>
                <c:pt idx="28">
                  <c:v>0.102367587894</c:v>
                </c:pt>
                <c:pt idx="29">
                  <c:v>0.103658953912</c:v>
                </c:pt>
                <c:pt idx="30">
                  <c:v>0.104881092811</c:v>
                </c:pt>
                <c:pt idx="31">
                  <c:v>0.105299568885</c:v>
                </c:pt>
                <c:pt idx="32">
                  <c:v>0.105299568885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D84-4872-9E9D-F64FA26A069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</a:t>
                </a:r>
                <a:r>
                  <a:rPr lang="en-US" baseline="0"/>
                  <a:t> </a:t>
                </a:r>
                <a:r>
                  <a:rPr lang="en-US"/>
                  <a:t>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0.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/>
              <a:t>B1_V0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'Linearity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-1.116100608121038E-2"/>
                  <c:y val="-0.108065156932856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BD5-40C8-BE6E-6F922D771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(Rx)'!$C$37:$C$68</c:f>
              <c:numCache>
                <c:formatCode>0.00_ </c:formatCode>
                <c:ptCount val="32"/>
                <c:pt idx="0">
                  <c:v>-53.651387410928642</c:v>
                </c:pt>
                <c:pt idx="1">
                  <c:v>-51.651387410928642</c:v>
                </c:pt>
                <c:pt idx="2">
                  <c:v>-49.651387410928642</c:v>
                </c:pt>
                <c:pt idx="3">
                  <c:v>-47.651387410928642</c:v>
                </c:pt>
                <c:pt idx="4">
                  <c:v>-45.651387410928642</c:v>
                </c:pt>
                <c:pt idx="5">
                  <c:v>-43.651387410928642</c:v>
                </c:pt>
                <c:pt idx="6">
                  <c:v>-41.651387410928642</c:v>
                </c:pt>
                <c:pt idx="7">
                  <c:v>-39.651387410928642</c:v>
                </c:pt>
                <c:pt idx="8">
                  <c:v>-37.651387410928642</c:v>
                </c:pt>
                <c:pt idx="9">
                  <c:v>-35.651387410928642</c:v>
                </c:pt>
                <c:pt idx="10">
                  <c:v>-33.651387410928642</c:v>
                </c:pt>
                <c:pt idx="11">
                  <c:v>-32.651387410928642</c:v>
                </c:pt>
                <c:pt idx="12">
                  <c:v>-31.651387410928649</c:v>
                </c:pt>
                <c:pt idx="13">
                  <c:v>-30.651387410928649</c:v>
                </c:pt>
                <c:pt idx="14">
                  <c:v>-29.651387410928649</c:v>
                </c:pt>
                <c:pt idx="15">
                  <c:v>-28.651387410928649</c:v>
                </c:pt>
                <c:pt idx="16">
                  <c:v>-27.651387410928649</c:v>
                </c:pt>
                <c:pt idx="17">
                  <c:v>-26.651387410928649</c:v>
                </c:pt>
                <c:pt idx="18">
                  <c:v>-25.651387410928649</c:v>
                </c:pt>
                <c:pt idx="19">
                  <c:v>-24.651387410928649</c:v>
                </c:pt>
                <c:pt idx="20">
                  <c:v>-23.651387410928649</c:v>
                </c:pt>
                <c:pt idx="21">
                  <c:v>-22.651387410928649</c:v>
                </c:pt>
                <c:pt idx="22">
                  <c:v>-21.651387410928649</c:v>
                </c:pt>
                <c:pt idx="23">
                  <c:v>-20.651387410928649</c:v>
                </c:pt>
                <c:pt idx="24">
                  <c:v>-19.651387410928649</c:v>
                </c:pt>
                <c:pt idx="25">
                  <c:v>-18.651387410928649</c:v>
                </c:pt>
                <c:pt idx="26">
                  <c:v>-17.651387410928649</c:v>
                </c:pt>
                <c:pt idx="27">
                  <c:v>-16.65276599092865</c:v>
                </c:pt>
                <c:pt idx="28">
                  <c:v>-15.649430990928639</c:v>
                </c:pt>
                <c:pt idx="29">
                  <c:v>-14.651317190928641</c:v>
                </c:pt>
                <c:pt idx="30">
                  <c:v>-13.652445690928641</c:v>
                </c:pt>
                <c:pt idx="31">
                  <c:v>-12.650977190928639</c:v>
                </c:pt>
              </c:numCache>
            </c:numRef>
          </c:cat>
          <c:val>
            <c:numRef>
              <c:f>'Linearity (Rx)'!$C$37:$C$68</c:f>
              <c:numCache>
                <c:formatCode>0.00_ </c:formatCode>
                <c:ptCount val="32"/>
                <c:pt idx="0">
                  <c:v>-53.651387410928642</c:v>
                </c:pt>
                <c:pt idx="1">
                  <c:v>-51.651387410928642</c:v>
                </c:pt>
                <c:pt idx="2">
                  <c:v>-49.651387410928642</c:v>
                </c:pt>
                <c:pt idx="3">
                  <c:v>-47.651387410928642</c:v>
                </c:pt>
                <c:pt idx="4">
                  <c:v>-45.651387410928642</c:v>
                </c:pt>
                <c:pt idx="5">
                  <c:v>-43.651387410928642</c:v>
                </c:pt>
                <c:pt idx="6">
                  <c:v>-41.651387410928642</c:v>
                </c:pt>
                <c:pt idx="7">
                  <c:v>-39.651387410928642</c:v>
                </c:pt>
                <c:pt idx="8">
                  <c:v>-37.651387410928642</c:v>
                </c:pt>
                <c:pt idx="9">
                  <c:v>-35.651387410928642</c:v>
                </c:pt>
                <c:pt idx="10">
                  <c:v>-33.651387410928642</c:v>
                </c:pt>
                <c:pt idx="11">
                  <c:v>-32.651387410928642</c:v>
                </c:pt>
                <c:pt idx="12">
                  <c:v>-31.651387410928649</c:v>
                </c:pt>
                <c:pt idx="13">
                  <c:v>-30.651387410928649</c:v>
                </c:pt>
                <c:pt idx="14">
                  <c:v>-29.651387410928649</c:v>
                </c:pt>
                <c:pt idx="15">
                  <c:v>-28.651387410928649</c:v>
                </c:pt>
                <c:pt idx="16">
                  <c:v>-27.651387410928649</c:v>
                </c:pt>
                <c:pt idx="17">
                  <c:v>-26.651387410928649</c:v>
                </c:pt>
                <c:pt idx="18">
                  <c:v>-25.651387410928649</c:v>
                </c:pt>
                <c:pt idx="19">
                  <c:v>-24.651387410928649</c:v>
                </c:pt>
                <c:pt idx="20">
                  <c:v>-23.651387410928649</c:v>
                </c:pt>
                <c:pt idx="21">
                  <c:v>-22.651387410928649</c:v>
                </c:pt>
                <c:pt idx="22">
                  <c:v>-21.651387410928649</c:v>
                </c:pt>
                <c:pt idx="23">
                  <c:v>-20.651387410928649</c:v>
                </c:pt>
                <c:pt idx="24">
                  <c:v>-19.651387410928649</c:v>
                </c:pt>
                <c:pt idx="25">
                  <c:v>-18.651387410928649</c:v>
                </c:pt>
                <c:pt idx="26">
                  <c:v>-17.651387410928649</c:v>
                </c:pt>
                <c:pt idx="27">
                  <c:v>-16.65276599092865</c:v>
                </c:pt>
                <c:pt idx="28">
                  <c:v>-15.649430990928639</c:v>
                </c:pt>
                <c:pt idx="29">
                  <c:v>-14.651317190928641</c:v>
                </c:pt>
                <c:pt idx="30">
                  <c:v>-13.652445690928641</c:v>
                </c:pt>
                <c:pt idx="31">
                  <c:v>-12.650977190928639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52-488F-9228-3E0899FF6C79}"/>
            </c:ext>
          </c:extLst>
        </c:ser>
        <c:ser>
          <c:idx val="2"/>
          <c:order val="1"/>
          <c:tx>
            <c:strRef>
              <c:f>'Linearity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3.2552934403530277E-2"/>
                  <c:y val="-7.31029002781088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BD5-40C8-BE6E-6F922D771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(Rx)'!$C$37:$C$68</c:f>
              <c:numCache>
                <c:formatCode>0.00_ </c:formatCode>
                <c:ptCount val="32"/>
                <c:pt idx="0">
                  <c:v>-53.651387410928642</c:v>
                </c:pt>
                <c:pt idx="1">
                  <c:v>-51.651387410928642</c:v>
                </c:pt>
                <c:pt idx="2">
                  <c:v>-49.651387410928642</c:v>
                </c:pt>
                <c:pt idx="3">
                  <c:v>-47.651387410928642</c:v>
                </c:pt>
                <c:pt idx="4">
                  <c:v>-45.651387410928642</c:v>
                </c:pt>
                <c:pt idx="5">
                  <c:v>-43.651387410928642</c:v>
                </c:pt>
                <c:pt idx="6">
                  <c:v>-41.651387410928642</c:v>
                </c:pt>
                <c:pt idx="7">
                  <c:v>-39.651387410928642</c:v>
                </c:pt>
                <c:pt idx="8">
                  <c:v>-37.651387410928642</c:v>
                </c:pt>
                <c:pt idx="9">
                  <c:v>-35.651387410928642</c:v>
                </c:pt>
                <c:pt idx="10">
                  <c:v>-33.651387410928642</c:v>
                </c:pt>
                <c:pt idx="11">
                  <c:v>-32.651387410928642</c:v>
                </c:pt>
                <c:pt idx="12">
                  <c:v>-31.651387410928649</c:v>
                </c:pt>
                <c:pt idx="13">
                  <c:v>-30.651387410928649</c:v>
                </c:pt>
                <c:pt idx="14">
                  <c:v>-29.651387410928649</c:v>
                </c:pt>
                <c:pt idx="15">
                  <c:v>-28.651387410928649</c:v>
                </c:pt>
                <c:pt idx="16">
                  <c:v>-27.651387410928649</c:v>
                </c:pt>
                <c:pt idx="17">
                  <c:v>-26.651387410928649</c:v>
                </c:pt>
                <c:pt idx="18">
                  <c:v>-25.651387410928649</c:v>
                </c:pt>
                <c:pt idx="19">
                  <c:v>-24.651387410928649</c:v>
                </c:pt>
                <c:pt idx="20">
                  <c:v>-23.651387410928649</c:v>
                </c:pt>
                <c:pt idx="21">
                  <c:v>-22.651387410928649</c:v>
                </c:pt>
                <c:pt idx="22">
                  <c:v>-21.651387410928649</c:v>
                </c:pt>
                <c:pt idx="23">
                  <c:v>-20.651387410928649</c:v>
                </c:pt>
                <c:pt idx="24">
                  <c:v>-19.651387410928649</c:v>
                </c:pt>
                <c:pt idx="25">
                  <c:v>-18.651387410928649</c:v>
                </c:pt>
                <c:pt idx="26">
                  <c:v>-17.651387410928649</c:v>
                </c:pt>
                <c:pt idx="27">
                  <c:v>-16.65276599092865</c:v>
                </c:pt>
                <c:pt idx="28">
                  <c:v>-15.649430990928639</c:v>
                </c:pt>
                <c:pt idx="29">
                  <c:v>-14.651317190928641</c:v>
                </c:pt>
                <c:pt idx="30">
                  <c:v>-13.652445690928641</c:v>
                </c:pt>
                <c:pt idx="31">
                  <c:v>-12.650977190928639</c:v>
                </c:pt>
              </c:numCache>
            </c:numRef>
          </c:cat>
          <c:val>
            <c:numRef>
              <c:f>'Linearity (Rx)'!$E$37:$E$68</c:f>
              <c:numCache>
                <c:formatCode>0.00_ </c:formatCode>
                <c:ptCount val="32"/>
                <c:pt idx="0">
                  <c:v>34.508424267533968</c:v>
                </c:pt>
                <c:pt idx="1">
                  <c:v>34.659828567533971</c:v>
                </c:pt>
                <c:pt idx="2">
                  <c:v>34.737707167533969</c:v>
                </c:pt>
                <c:pt idx="3">
                  <c:v>34.79462436753397</c:v>
                </c:pt>
                <c:pt idx="4">
                  <c:v>34.754997967533967</c:v>
                </c:pt>
                <c:pt idx="5">
                  <c:v>34.672339867533971</c:v>
                </c:pt>
                <c:pt idx="6">
                  <c:v>34.465771867533967</c:v>
                </c:pt>
                <c:pt idx="7">
                  <c:v>34.102117567533973</c:v>
                </c:pt>
                <c:pt idx="8">
                  <c:v>33.489903467533971</c:v>
                </c:pt>
                <c:pt idx="9">
                  <c:v>32.490223167533969</c:v>
                </c:pt>
                <c:pt idx="10">
                  <c:v>31.005757767533972</c:v>
                </c:pt>
                <c:pt idx="11">
                  <c:v>30.09192166753397</c:v>
                </c:pt>
                <c:pt idx="12">
                  <c:v>29.065402467533971</c:v>
                </c:pt>
                <c:pt idx="13">
                  <c:v>27.965121467533979</c:v>
                </c:pt>
                <c:pt idx="14">
                  <c:v>26.795799467533971</c:v>
                </c:pt>
                <c:pt idx="15">
                  <c:v>25.591605267533971</c:v>
                </c:pt>
                <c:pt idx="16">
                  <c:v>24.361009667533981</c:v>
                </c:pt>
                <c:pt idx="17">
                  <c:v>23.120115167533971</c:v>
                </c:pt>
                <c:pt idx="18">
                  <c:v>21.89004396753398</c:v>
                </c:pt>
                <c:pt idx="19">
                  <c:v>20.69533976753398</c:v>
                </c:pt>
                <c:pt idx="20">
                  <c:v>19.520032267533971</c:v>
                </c:pt>
                <c:pt idx="21">
                  <c:v>18.382710967533971</c:v>
                </c:pt>
                <c:pt idx="22">
                  <c:v>17.278592467533979</c:v>
                </c:pt>
                <c:pt idx="23">
                  <c:v>16.18309356753398</c:v>
                </c:pt>
                <c:pt idx="24">
                  <c:v>15.11213966753397</c:v>
                </c:pt>
                <c:pt idx="25">
                  <c:v>14.06109836753398</c:v>
                </c:pt>
                <c:pt idx="26">
                  <c:v>13.032699067533979</c:v>
                </c:pt>
                <c:pt idx="27">
                  <c:v>12.007268547533981</c:v>
                </c:pt>
                <c:pt idx="28">
                  <c:v>10.993159747533969</c:v>
                </c:pt>
                <c:pt idx="29">
                  <c:v>9.993873147533975</c:v>
                </c:pt>
                <c:pt idx="30">
                  <c:v>8.9811601475339735</c:v>
                </c:pt>
                <c:pt idx="31">
                  <c:v>7.9847568475339754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52-488F-9228-3E0899FF6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'Linearity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8"/>
              <c:layout>
                <c:manualLayout>
                  <c:x val="7.4406707208069202E-3"/>
                  <c:y val="-0.11918951132300358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BD5-40C8-BE6E-6F922D771D6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'Linearity (Rx)'!$A$37:$A$68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'Linearity (Rx)'!$Z$37:$Z$68</c:f>
              <c:numCache>
                <c:formatCode>0.000_ </c:formatCode>
                <c:ptCount val="32"/>
                <c:pt idx="0">
                  <c:v>8.8542277023000007E-2</c:v>
                </c:pt>
                <c:pt idx="1">
                  <c:v>8.8791157104000012E-2</c:v>
                </c:pt>
                <c:pt idx="2">
                  <c:v>8.8804128831000001E-2</c:v>
                </c:pt>
                <c:pt idx="3">
                  <c:v>8.8888878542000005E-2</c:v>
                </c:pt>
                <c:pt idx="4">
                  <c:v>8.9004648478999998E-2</c:v>
                </c:pt>
                <c:pt idx="5">
                  <c:v>8.9198369456000001E-2</c:v>
                </c:pt>
                <c:pt idx="6">
                  <c:v>8.9396382927000001E-2</c:v>
                </c:pt>
                <c:pt idx="7">
                  <c:v>8.9560292627000007E-2</c:v>
                </c:pt>
                <c:pt idx="8">
                  <c:v>9.0035397037000003E-2</c:v>
                </c:pt>
                <c:pt idx="9">
                  <c:v>9.0485244595000014E-2</c:v>
                </c:pt>
                <c:pt idx="10">
                  <c:v>9.0918722214000006E-2</c:v>
                </c:pt>
                <c:pt idx="11">
                  <c:v>9.1225835985000003E-2</c:v>
                </c:pt>
                <c:pt idx="12">
                  <c:v>9.1517652416999995E-2</c:v>
                </c:pt>
                <c:pt idx="13">
                  <c:v>9.1708213287000018E-2</c:v>
                </c:pt>
                <c:pt idx="14">
                  <c:v>9.2082823728000002E-2</c:v>
                </c:pt>
                <c:pt idx="15">
                  <c:v>9.2449106463000003E-2</c:v>
                </c:pt>
                <c:pt idx="16">
                  <c:v>9.2867285026000002E-2</c:v>
                </c:pt>
                <c:pt idx="17">
                  <c:v>9.3433788577999999E-2</c:v>
                </c:pt>
                <c:pt idx="18">
                  <c:v>9.4032857509000006E-2</c:v>
                </c:pt>
                <c:pt idx="19">
                  <c:v>9.4591299283000002E-2</c:v>
                </c:pt>
                <c:pt idx="20">
                  <c:v>9.5309293966000005E-2</c:v>
                </c:pt>
                <c:pt idx="21">
                  <c:v>9.5756966402000002E-2</c:v>
                </c:pt>
                <c:pt idx="22">
                  <c:v>9.6487663651000005E-2</c:v>
                </c:pt>
                <c:pt idx="23">
                  <c:v>9.7526970353000009E-2</c:v>
                </c:pt>
                <c:pt idx="24">
                  <c:v>9.8566622195000009E-2</c:v>
                </c:pt>
                <c:pt idx="25">
                  <c:v>9.9531675369000011E-2</c:v>
                </c:pt>
                <c:pt idx="26">
                  <c:v>0.10114493212299999</c:v>
                </c:pt>
                <c:pt idx="27">
                  <c:v>0.10239845234299999</c:v>
                </c:pt>
                <c:pt idx="28">
                  <c:v>0.10371828578999999</c:v>
                </c:pt>
                <c:pt idx="29">
                  <c:v>0.10477086319599999</c:v>
                </c:pt>
                <c:pt idx="30">
                  <c:v>0.105439228351</c:v>
                </c:pt>
                <c:pt idx="31">
                  <c:v>0.106487078427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52-488F-9228-3E0899FF6C7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  <c:max val="1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0.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F2FA-45A3-A07D-A51EB12DA06B}"/>
                </c:ext>
              </c:extLst>
            </c:dLbl>
            <c:dLbl>
              <c:idx val="63"/>
              <c:layout>
                <c:manualLayout>
                  <c:x val="-4.6814986619945063E-2"/>
                  <c:y val="6.5425146622426808E-2"/>
                </c:manualLayout>
              </c:layout>
              <c:tx>
                <c:rich>
                  <a:bodyPr/>
                  <a:lstStyle/>
                  <a:p>
                    <a:fld id="{6F757F46-F309-427C-B62A-A1B55B8CA03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63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F2FA-45A3-A07D-A51EB12DA0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 (Rx)'!$A$3:$A$66</c:f>
              <c:numCache>
                <c:formatCode>0_ 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cat>
          <c:val>
            <c:numRef>
              <c:f>'Gain Accuracy (Rx)'!$E$3:$E$66</c:f>
              <c:numCache>
                <c:formatCode>0.00_ </c:formatCode>
                <c:ptCount val="64"/>
                <c:pt idx="0">
                  <c:v>41.476183243366769</c:v>
                </c:pt>
                <c:pt idx="1">
                  <c:v>41.476472243366757</c:v>
                </c:pt>
                <c:pt idx="2">
                  <c:v>41.428260943366773</c:v>
                </c:pt>
                <c:pt idx="3">
                  <c:v>41.38456014336677</c:v>
                </c:pt>
                <c:pt idx="4">
                  <c:v>40.872538643366767</c:v>
                </c:pt>
                <c:pt idx="5">
                  <c:v>40.811840243366767</c:v>
                </c:pt>
                <c:pt idx="6">
                  <c:v>40.775350243366773</c:v>
                </c:pt>
                <c:pt idx="7">
                  <c:v>40.720310943366769</c:v>
                </c:pt>
                <c:pt idx="8">
                  <c:v>39.380714743366767</c:v>
                </c:pt>
                <c:pt idx="9">
                  <c:v>39.320888143366773</c:v>
                </c:pt>
                <c:pt idx="10">
                  <c:v>39.263823643366763</c:v>
                </c:pt>
                <c:pt idx="11">
                  <c:v>39.227247043366773</c:v>
                </c:pt>
                <c:pt idx="12">
                  <c:v>38.576204543366771</c:v>
                </c:pt>
                <c:pt idx="13">
                  <c:v>38.505153743366762</c:v>
                </c:pt>
                <c:pt idx="14">
                  <c:v>38.456140243366768</c:v>
                </c:pt>
                <c:pt idx="15">
                  <c:v>38.39400034336677</c:v>
                </c:pt>
                <c:pt idx="16">
                  <c:v>37.140267743366763</c:v>
                </c:pt>
                <c:pt idx="17">
                  <c:v>37.085728743366772</c:v>
                </c:pt>
                <c:pt idx="18">
                  <c:v>37.033832543366771</c:v>
                </c:pt>
                <c:pt idx="19">
                  <c:v>36.972248443366773</c:v>
                </c:pt>
                <c:pt idx="20">
                  <c:v>36.201455143366772</c:v>
                </c:pt>
                <c:pt idx="21">
                  <c:v>36.136786643366761</c:v>
                </c:pt>
                <c:pt idx="22">
                  <c:v>36.087232743366769</c:v>
                </c:pt>
                <c:pt idx="23">
                  <c:v>36.028564743366772</c:v>
                </c:pt>
                <c:pt idx="24">
                  <c:v>35.039161043366768</c:v>
                </c:pt>
                <c:pt idx="25">
                  <c:v>34.980964943366772</c:v>
                </c:pt>
                <c:pt idx="26">
                  <c:v>34.924989843366767</c:v>
                </c:pt>
                <c:pt idx="27">
                  <c:v>34.866170443366769</c:v>
                </c:pt>
                <c:pt idx="28">
                  <c:v>34.047428143366773</c:v>
                </c:pt>
                <c:pt idx="29">
                  <c:v>33.969018143366768</c:v>
                </c:pt>
                <c:pt idx="30">
                  <c:v>33.915014043366767</c:v>
                </c:pt>
                <c:pt idx="31">
                  <c:v>33.863868443366769</c:v>
                </c:pt>
                <c:pt idx="32">
                  <c:v>32.857714243366772</c:v>
                </c:pt>
                <c:pt idx="33">
                  <c:v>32.789417443366773</c:v>
                </c:pt>
                <c:pt idx="34">
                  <c:v>32.73494734336677</c:v>
                </c:pt>
                <c:pt idx="35">
                  <c:v>32.658111843366768</c:v>
                </c:pt>
                <c:pt idx="36">
                  <c:v>31.806781543366771</c:v>
                </c:pt>
                <c:pt idx="37">
                  <c:v>31.726869243366771</c:v>
                </c:pt>
                <c:pt idx="38">
                  <c:v>31.694319743366769</c:v>
                </c:pt>
                <c:pt idx="39">
                  <c:v>31.63665364336677</c:v>
                </c:pt>
                <c:pt idx="40">
                  <c:v>30.70776714336677</c:v>
                </c:pt>
                <c:pt idx="41">
                  <c:v>30.630894243366772</c:v>
                </c:pt>
                <c:pt idx="42">
                  <c:v>30.577444443366769</c:v>
                </c:pt>
                <c:pt idx="43">
                  <c:v>30.501096943366768</c:v>
                </c:pt>
                <c:pt idx="44">
                  <c:v>29.58209924336677</c:v>
                </c:pt>
                <c:pt idx="45">
                  <c:v>29.520461543366771</c:v>
                </c:pt>
                <c:pt idx="46">
                  <c:v>29.47954964336677</c:v>
                </c:pt>
                <c:pt idx="47">
                  <c:v>29.39046314336677</c:v>
                </c:pt>
                <c:pt idx="48">
                  <c:v>28.418844943366771</c:v>
                </c:pt>
                <c:pt idx="49">
                  <c:v>28.34403234336677</c:v>
                </c:pt>
                <c:pt idx="50">
                  <c:v>28.25854174336677</c:v>
                </c:pt>
                <c:pt idx="51">
                  <c:v>28.163379743366772</c:v>
                </c:pt>
                <c:pt idx="52">
                  <c:v>27.219684243366771</c:v>
                </c:pt>
                <c:pt idx="53">
                  <c:v>27.169889943366769</c:v>
                </c:pt>
                <c:pt idx="54">
                  <c:v>27.07233104336677</c:v>
                </c:pt>
                <c:pt idx="55">
                  <c:v>27.017982743366769</c:v>
                </c:pt>
                <c:pt idx="56">
                  <c:v>26.13637084336677</c:v>
                </c:pt>
                <c:pt idx="57">
                  <c:v>26.048570343366769</c:v>
                </c:pt>
                <c:pt idx="58">
                  <c:v>26.001542943366768</c:v>
                </c:pt>
                <c:pt idx="59">
                  <c:v>25.91143694336677</c:v>
                </c:pt>
                <c:pt idx="60">
                  <c:v>24.840123843366769</c:v>
                </c:pt>
                <c:pt idx="61">
                  <c:v>24.728085943366771</c:v>
                </c:pt>
                <c:pt idx="62">
                  <c:v>24.711541843366771</c:v>
                </c:pt>
                <c:pt idx="63">
                  <c:v>24.623935343366771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2FA-45A3-A07D-A51EB12D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(Rx)'!$A$3:$A$66</c15:sqref>
                        </c15:formulaRef>
                      </c:ext>
                    </c:extLst>
                    <c:numCache>
                      <c:formatCode>0_ </c:formatCode>
                      <c:ptCount val="6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(Rx)'!$D$3:$D$66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-2.5442669433946676</c:v>
                      </c:pt>
                      <c:pt idx="1">
                        <c:v>-2.5439779433946796</c:v>
                      </c:pt>
                      <c:pt idx="2">
                        <c:v>-2.5921892433946638</c:v>
                      </c:pt>
                      <c:pt idx="3">
                        <c:v>-2.6358900433946673</c:v>
                      </c:pt>
                      <c:pt idx="4">
                        <c:v>-3.1479115433946703</c:v>
                      </c:pt>
                      <c:pt idx="5">
                        <c:v>-3.20860994339467</c:v>
                      </c:pt>
                      <c:pt idx="6">
                        <c:v>-3.2450999433946635</c:v>
                      </c:pt>
                      <c:pt idx="7">
                        <c:v>-3.3001392433946677</c:v>
                      </c:pt>
                      <c:pt idx="8">
                        <c:v>-4.6397354433946703</c:v>
                      </c:pt>
                      <c:pt idx="9">
                        <c:v>-4.6995620433946641</c:v>
                      </c:pt>
                      <c:pt idx="10">
                        <c:v>-4.7566265433946739</c:v>
                      </c:pt>
                      <c:pt idx="11">
                        <c:v>-4.7932031433946634</c:v>
                      </c:pt>
                      <c:pt idx="12">
                        <c:v>-5.444245643394666</c:v>
                      </c:pt>
                      <c:pt idx="13">
                        <c:v>-5.515296443394675</c:v>
                      </c:pt>
                      <c:pt idx="14">
                        <c:v>-5.5643099433946688</c:v>
                      </c:pt>
                      <c:pt idx="15">
                        <c:v>-5.626449843394667</c:v>
                      </c:pt>
                      <c:pt idx="16">
                        <c:v>-6.8801824433946734</c:v>
                      </c:pt>
                      <c:pt idx="17">
                        <c:v>-6.9347214433946647</c:v>
                      </c:pt>
                      <c:pt idx="18">
                        <c:v>-6.9866176433946663</c:v>
                      </c:pt>
                      <c:pt idx="19">
                        <c:v>-7.0482017433946638</c:v>
                      </c:pt>
                      <c:pt idx="20">
                        <c:v>-7.8189950433946649</c:v>
                      </c:pt>
                      <c:pt idx="21">
                        <c:v>-7.8836635433946753</c:v>
                      </c:pt>
                      <c:pt idx="22">
                        <c:v>-7.9332174433946676</c:v>
                      </c:pt>
                      <c:pt idx="23">
                        <c:v>-7.9918854433946649</c:v>
                      </c:pt>
                      <c:pt idx="24">
                        <c:v>-8.9812891433946689</c:v>
                      </c:pt>
                      <c:pt idx="25">
                        <c:v>-9.0394852433946653</c:v>
                      </c:pt>
                      <c:pt idx="26">
                        <c:v>-9.0954603433946701</c:v>
                      </c:pt>
                      <c:pt idx="27">
                        <c:v>-9.1542797433946674</c:v>
                      </c:pt>
                      <c:pt idx="28">
                        <c:v>-9.9730220433946641</c:v>
                      </c:pt>
                      <c:pt idx="29">
                        <c:v>-10.051432043394669</c:v>
                      </c:pt>
                      <c:pt idx="30">
                        <c:v>-10.10543614339467</c:v>
                      </c:pt>
                      <c:pt idx="31">
                        <c:v>-10.156581743394668</c:v>
                      </c:pt>
                      <c:pt idx="32">
                        <c:v>-11.162735943394665</c:v>
                      </c:pt>
                      <c:pt idx="33">
                        <c:v>-11.231032743394664</c:v>
                      </c:pt>
                      <c:pt idx="34">
                        <c:v>-11.285502843394667</c:v>
                      </c:pt>
                      <c:pt idx="35">
                        <c:v>-11.362338343394669</c:v>
                      </c:pt>
                      <c:pt idx="36">
                        <c:v>-12.213668643394666</c:v>
                      </c:pt>
                      <c:pt idx="37">
                        <c:v>-12.293580943394666</c:v>
                      </c:pt>
                      <c:pt idx="38">
                        <c:v>-12.326130443394668</c:v>
                      </c:pt>
                      <c:pt idx="39">
                        <c:v>-12.383796543394666</c:v>
                      </c:pt>
                      <c:pt idx="40">
                        <c:v>-13.312683043394667</c:v>
                      </c:pt>
                      <c:pt idx="41">
                        <c:v>-13.389555943394665</c:v>
                      </c:pt>
                      <c:pt idx="42">
                        <c:v>-13.443005743394668</c:v>
                      </c:pt>
                      <c:pt idx="43">
                        <c:v>-13.519353243394669</c:v>
                      </c:pt>
                      <c:pt idx="44">
                        <c:v>-14.438350943394667</c:v>
                      </c:pt>
                      <c:pt idx="45">
                        <c:v>-14.499988643394666</c:v>
                      </c:pt>
                      <c:pt idx="46">
                        <c:v>-14.540900543394667</c:v>
                      </c:pt>
                      <c:pt idx="47">
                        <c:v>-14.629987043394667</c:v>
                      </c:pt>
                      <c:pt idx="48">
                        <c:v>-15.601605243394665</c:v>
                      </c:pt>
                      <c:pt idx="49">
                        <c:v>-15.676417843394667</c:v>
                      </c:pt>
                      <c:pt idx="50">
                        <c:v>-15.761908443394667</c:v>
                      </c:pt>
                      <c:pt idx="51">
                        <c:v>-15.857070443394665</c:v>
                      </c:pt>
                      <c:pt idx="52">
                        <c:v>-16.800765943394666</c:v>
                      </c:pt>
                      <c:pt idx="53">
                        <c:v>-16.850560243394668</c:v>
                      </c:pt>
                      <c:pt idx="54">
                        <c:v>-16.948119143394667</c:v>
                      </c:pt>
                      <c:pt idx="55">
                        <c:v>-17.002467443394668</c:v>
                      </c:pt>
                      <c:pt idx="56">
                        <c:v>-17.884079343394667</c:v>
                      </c:pt>
                      <c:pt idx="57">
                        <c:v>-17.971879843394667</c:v>
                      </c:pt>
                      <c:pt idx="58">
                        <c:v>-18.018907243394668</c:v>
                      </c:pt>
                      <c:pt idx="59">
                        <c:v>-18.109013243394667</c:v>
                      </c:pt>
                      <c:pt idx="60">
                        <c:v>-19.180326343394668</c:v>
                      </c:pt>
                      <c:pt idx="61">
                        <c:v>-19.292364243394665</c:v>
                      </c:pt>
                      <c:pt idx="62">
                        <c:v>-19.308908343394666</c:v>
                      </c:pt>
                      <c:pt idx="63">
                        <c:v>-19.396514843394666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F2FA-45A3-A07D-A51EB12DA06B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 (Rx)'!$F$3:$F$66</c:f>
              <c:numCache>
                <c:formatCode>0.00_ </c:formatCode>
                <c:ptCount val="64"/>
                <c:pt idx="0">
                  <c:v>41.476183243366769</c:v>
                </c:pt>
                <c:pt idx="1">
                  <c:v>41.226183243366769</c:v>
                </c:pt>
                <c:pt idx="2">
                  <c:v>40.976183243366769</c:v>
                </c:pt>
                <c:pt idx="3">
                  <c:v>40.726183243366769</c:v>
                </c:pt>
                <c:pt idx="4">
                  <c:v>40.476183243366769</c:v>
                </c:pt>
                <c:pt idx="5">
                  <c:v>40.226183243366769</c:v>
                </c:pt>
                <c:pt idx="6">
                  <c:v>39.976183243366769</c:v>
                </c:pt>
                <c:pt idx="7">
                  <c:v>39.726183243366769</c:v>
                </c:pt>
                <c:pt idx="8">
                  <c:v>39.476183243366769</c:v>
                </c:pt>
                <c:pt idx="9">
                  <c:v>39.226183243366769</c:v>
                </c:pt>
                <c:pt idx="10">
                  <c:v>38.976183243366769</c:v>
                </c:pt>
                <c:pt idx="11">
                  <c:v>38.726183243366769</c:v>
                </c:pt>
                <c:pt idx="12">
                  <c:v>38.476183243366769</c:v>
                </c:pt>
                <c:pt idx="13">
                  <c:v>38.226183243366769</c:v>
                </c:pt>
                <c:pt idx="14">
                  <c:v>37.976183243366769</c:v>
                </c:pt>
                <c:pt idx="15">
                  <c:v>37.726183243366769</c:v>
                </c:pt>
                <c:pt idx="16">
                  <c:v>37.476183243366769</c:v>
                </c:pt>
                <c:pt idx="17">
                  <c:v>37.226183243366769</c:v>
                </c:pt>
                <c:pt idx="18">
                  <c:v>36.976183243366769</c:v>
                </c:pt>
                <c:pt idx="19">
                  <c:v>36.726183243366769</c:v>
                </c:pt>
                <c:pt idx="20">
                  <c:v>36.476183243366769</c:v>
                </c:pt>
                <c:pt idx="21">
                  <c:v>36.226183243366769</c:v>
                </c:pt>
                <c:pt idx="22">
                  <c:v>35.976183243366769</c:v>
                </c:pt>
                <c:pt idx="23">
                  <c:v>35.726183243366769</c:v>
                </c:pt>
                <c:pt idx="24">
                  <c:v>35.476183243366769</c:v>
                </c:pt>
                <c:pt idx="25">
                  <c:v>35.226183243366769</c:v>
                </c:pt>
                <c:pt idx="26">
                  <c:v>34.976183243366769</c:v>
                </c:pt>
                <c:pt idx="27">
                  <c:v>34.726183243366769</c:v>
                </c:pt>
                <c:pt idx="28">
                  <c:v>34.476183243366769</c:v>
                </c:pt>
                <c:pt idx="29">
                  <c:v>34.226183243366769</c:v>
                </c:pt>
                <c:pt idx="30">
                  <c:v>33.976183243366769</c:v>
                </c:pt>
                <c:pt idx="31">
                  <c:v>33.726183243366769</c:v>
                </c:pt>
                <c:pt idx="32">
                  <c:v>33.476183243366769</c:v>
                </c:pt>
                <c:pt idx="33">
                  <c:v>33.226183243366769</c:v>
                </c:pt>
                <c:pt idx="34">
                  <c:v>32.976183243366769</c:v>
                </c:pt>
                <c:pt idx="35">
                  <c:v>32.726183243366769</c:v>
                </c:pt>
                <c:pt idx="36">
                  <c:v>32.476183243366769</c:v>
                </c:pt>
                <c:pt idx="37">
                  <c:v>32.226183243366769</c:v>
                </c:pt>
                <c:pt idx="38">
                  <c:v>31.976183243366769</c:v>
                </c:pt>
                <c:pt idx="39">
                  <c:v>31.726183243366769</c:v>
                </c:pt>
                <c:pt idx="40">
                  <c:v>31.476183243366769</c:v>
                </c:pt>
                <c:pt idx="41">
                  <c:v>31.226183243366769</c:v>
                </c:pt>
                <c:pt idx="42">
                  <c:v>30.976183243366769</c:v>
                </c:pt>
                <c:pt idx="43">
                  <c:v>30.726183243366769</c:v>
                </c:pt>
                <c:pt idx="44">
                  <c:v>30.476183243366769</c:v>
                </c:pt>
                <c:pt idx="45">
                  <c:v>30.226183243366769</c:v>
                </c:pt>
                <c:pt idx="46">
                  <c:v>29.976183243366769</c:v>
                </c:pt>
                <c:pt idx="47">
                  <c:v>29.726183243366769</c:v>
                </c:pt>
                <c:pt idx="48">
                  <c:v>29.476183243366769</c:v>
                </c:pt>
                <c:pt idx="49">
                  <c:v>29.226183243366769</c:v>
                </c:pt>
                <c:pt idx="50">
                  <c:v>28.976183243366769</c:v>
                </c:pt>
                <c:pt idx="51">
                  <c:v>28.726183243366769</c:v>
                </c:pt>
                <c:pt idx="52">
                  <c:v>28.476183243366769</c:v>
                </c:pt>
                <c:pt idx="53">
                  <c:v>28.226183243366769</c:v>
                </c:pt>
                <c:pt idx="54">
                  <c:v>27.976183243366769</c:v>
                </c:pt>
                <c:pt idx="55">
                  <c:v>27.726183243366769</c:v>
                </c:pt>
                <c:pt idx="56">
                  <c:v>27.476183243366769</c:v>
                </c:pt>
                <c:pt idx="57">
                  <c:v>27.226183243366769</c:v>
                </c:pt>
                <c:pt idx="58">
                  <c:v>26.976183243366769</c:v>
                </c:pt>
                <c:pt idx="59">
                  <c:v>26.726183243366769</c:v>
                </c:pt>
                <c:pt idx="60">
                  <c:v>26.476183243366769</c:v>
                </c:pt>
                <c:pt idx="61">
                  <c:v>26.226183243366769</c:v>
                </c:pt>
                <c:pt idx="62">
                  <c:v>25.976183243366769</c:v>
                </c:pt>
                <c:pt idx="63">
                  <c:v>25.726183243366769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2FA-45A3-A07D-A51EB12DA0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(Rx)'!$A$3:$A$34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(Rx)'!$AA$3:$AA$66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8.9643646957000001E-2</c:v>
                      </c:pt>
                      <c:pt idx="1">
                        <c:v>8.9669473347999989E-2</c:v>
                      </c:pt>
                      <c:pt idx="2">
                        <c:v>8.9687270464000005E-2</c:v>
                      </c:pt>
                      <c:pt idx="3">
                        <c:v>8.959608790500001E-2</c:v>
                      </c:pt>
                      <c:pt idx="4">
                        <c:v>8.9509346541000012E-2</c:v>
                      </c:pt>
                      <c:pt idx="5">
                        <c:v>8.9512976989000015E-2</c:v>
                      </c:pt>
                      <c:pt idx="6">
                        <c:v>8.952527054800001E-2</c:v>
                      </c:pt>
                      <c:pt idx="7">
                        <c:v>8.9591765636999998E-2</c:v>
                      </c:pt>
                      <c:pt idx="8">
                        <c:v>8.9426454129999999E-2</c:v>
                      </c:pt>
                      <c:pt idx="9">
                        <c:v>8.9376863107000021E-2</c:v>
                      </c:pt>
                      <c:pt idx="10">
                        <c:v>8.9381962168000012E-2</c:v>
                      </c:pt>
                      <c:pt idx="11">
                        <c:v>8.9347060369000003E-2</c:v>
                      </c:pt>
                      <c:pt idx="12">
                        <c:v>8.9229587500999991E-2</c:v>
                      </c:pt>
                      <c:pt idx="13">
                        <c:v>8.9314961658000014E-2</c:v>
                      </c:pt>
                      <c:pt idx="14">
                        <c:v>8.9312362593000016E-2</c:v>
                      </c:pt>
                      <c:pt idx="15">
                        <c:v>8.9353934257000001E-2</c:v>
                      </c:pt>
                      <c:pt idx="16">
                        <c:v>8.9217068277000017E-2</c:v>
                      </c:pt>
                      <c:pt idx="17">
                        <c:v>8.9250763823000012E-2</c:v>
                      </c:pt>
                      <c:pt idx="18">
                        <c:v>8.9150385082999994E-2</c:v>
                      </c:pt>
                      <c:pt idx="19">
                        <c:v>8.9242359713000013E-2</c:v>
                      </c:pt>
                      <c:pt idx="20">
                        <c:v>8.9196513647000014E-2</c:v>
                      </c:pt>
                      <c:pt idx="21">
                        <c:v>8.9193799082000008E-2</c:v>
                      </c:pt>
                      <c:pt idx="22">
                        <c:v>8.9130535305000008E-2</c:v>
                      </c:pt>
                      <c:pt idx="23">
                        <c:v>8.9092934031999999E-2</c:v>
                      </c:pt>
                      <c:pt idx="24">
                        <c:v>8.9135581758000015E-2</c:v>
                      </c:pt>
                      <c:pt idx="25">
                        <c:v>8.9218053120000002E-2</c:v>
                      </c:pt>
                      <c:pt idx="26">
                        <c:v>8.9086650628000003E-2</c:v>
                      </c:pt>
                      <c:pt idx="27">
                        <c:v>8.9166705646000002E-2</c:v>
                      </c:pt>
                      <c:pt idx="28">
                        <c:v>8.9215151559000005E-2</c:v>
                      </c:pt>
                      <c:pt idx="29">
                        <c:v>8.9212477137000007E-2</c:v>
                      </c:pt>
                      <c:pt idx="30">
                        <c:v>8.9123002978000007E-2</c:v>
                      </c:pt>
                      <c:pt idx="31">
                        <c:v>8.9151515358000005E-2</c:v>
                      </c:pt>
                      <c:pt idx="32">
                        <c:v>8.9088373370000001E-2</c:v>
                      </c:pt>
                      <c:pt idx="33">
                        <c:v>8.9113568072999999E-2</c:v>
                      </c:pt>
                      <c:pt idx="34">
                        <c:v>8.9127967559000001E-2</c:v>
                      </c:pt>
                      <c:pt idx="35">
                        <c:v>8.9054624954000003E-2</c:v>
                      </c:pt>
                      <c:pt idx="36">
                        <c:v>8.9028187593000005E-2</c:v>
                      </c:pt>
                      <c:pt idx="37">
                        <c:v>8.9116262806000018E-2</c:v>
                      </c:pt>
                      <c:pt idx="38">
                        <c:v>8.9113059975999998E-2</c:v>
                      </c:pt>
                      <c:pt idx="39">
                        <c:v>8.9135357361000006E-2</c:v>
                      </c:pt>
                      <c:pt idx="40">
                        <c:v>8.9097380711000013E-2</c:v>
                      </c:pt>
                      <c:pt idx="41">
                        <c:v>8.9127875391000005E-2</c:v>
                      </c:pt>
                      <c:pt idx="42">
                        <c:v>8.9132473060000009E-2</c:v>
                      </c:pt>
                      <c:pt idx="43">
                        <c:v>8.9111272591000018E-2</c:v>
                      </c:pt>
                      <c:pt idx="44">
                        <c:v>8.9162902352000001E-2</c:v>
                      </c:pt>
                      <c:pt idx="45">
                        <c:v>8.9163522068999995E-2</c:v>
                      </c:pt>
                      <c:pt idx="46">
                        <c:v>8.9169045489999987E-2</c:v>
                      </c:pt>
                      <c:pt idx="47">
                        <c:v>8.9098216487000004E-2</c:v>
                      </c:pt>
                      <c:pt idx="48">
                        <c:v>8.9120623317999997E-2</c:v>
                      </c:pt>
                      <c:pt idx="49">
                        <c:v>8.910897040400001E-2</c:v>
                      </c:pt>
                      <c:pt idx="50">
                        <c:v>8.9159367623000002E-2</c:v>
                      </c:pt>
                      <c:pt idx="51">
                        <c:v>8.912646714200001E-2</c:v>
                      </c:pt>
                      <c:pt idx="52">
                        <c:v>8.9062243983E-2</c:v>
                      </c:pt>
                      <c:pt idx="53">
                        <c:v>8.9151464001000005E-2</c:v>
                      </c:pt>
                      <c:pt idx="54">
                        <c:v>8.9131965454000012E-2</c:v>
                      </c:pt>
                      <c:pt idx="55">
                        <c:v>8.9067682847000007E-2</c:v>
                      </c:pt>
                      <c:pt idx="56">
                        <c:v>8.9128082619000015E-2</c:v>
                      </c:pt>
                      <c:pt idx="57">
                        <c:v>8.9114479180000011E-2</c:v>
                      </c:pt>
                      <c:pt idx="58">
                        <c:v>8.9152975373000001E-2</c:v>
                      </c:pt>
                      <c:pt idx="59">
                        <c:v>8.9148071603000006E-2</c:v>
                      </c:pt>
                      <c:pt idx="60">
                        <c:v>8.9148222160000012E-2</c:v>
                      </c:pt>
                      <c:pt idx="61">
                        <c:v>8.9113873683000014E-2</c:v>
                      </c:pt>
                      <c:pt idx="62">
                        <c:v>8.9169468836000007E-2</c:v>
                      </c:pt>
                      <c:pt idx="63">
                        <c:v>8.9156967544999993E-2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F2FA-45A3-A07D-A51EB12DA06B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157-4076-BD89-A45BECA742F9}"/>
                </c:ext>
              </c:extLst>
            </c:dLbl>
            <c:dLbl>
              <c:idx val="32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157-4076-BD89-A45BECA742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 (Rx)'!$A$68:$A$100</c:f>
              <c:numCache>
                <c:formatCode>0_ 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'Gain Accuracy (Rx)'!$E$68:$E$100</c:f>
              <c:numCache>
                <c:formatCode>0.00_ </c:formatCode>
                <c:ptCount val="33"/>
                <c:pt idx="0">
                  <c:v>35.055175743366767</c:v>
                </c:pt>
                <c:pt idx="1">
                  <c:v>34.81650224336677</c:v>
                </c:pt>
                <c:pt idx="2">
                  <c:v>34.596840843366763</c:v>
                </c:pt>
                <c:pt idx="3">
                  <c:v>34.342687243366768</c:v>
                </c:pt>
                <c:pt idx="4">
                  <c:v>34.158404543366771</c:v>
                </c:pt>
                <c:pt idx="5">
                  <c:v>33.922020243366767</c:v>
                </c:pt>
                <c:pt idx="6">
                  <c:v>33.693731843366763</c:v>
                </c:pt>
                <c:pt idx="7">
                  <c:v>33.459507143366757</c:v>
                </c:pt>
                <c:pt idx="8">
                  <c:v>33.105747843366771</c:v>
                </c:pt>
                <c:pt idx="9">
                  <c:v>32.819365043366773</c:v>
                </c:pt>
                <c:pt idx="10">
                  <c:v>32.585034243366763</c:v>
                </c:pt>
                <c:pt idx="11">
                  <c:v>32.331559843366762</c:v>
                </c:pt>
                <c:pt idx="12">
                  <c:v>32.205544643366757</c:v>
                </c:pt>
                <c:pt idx="13">
                  <c:v>31.935268543366771</c:v>
                </c:pt>
                <c:pt idx="14">
                  <c:v>31.696867843366771</c:v>
                </c:pt>
                <c:pt idx="15">
                  <c:v>31.43238764336677</c:v>
                </c:pt>
                <c:pt idx="16">
                  <c:v>31.27858794336677</c:v>
                </c:pt>
                <c:pt idx="17">
                  <c:v>30.99530474336677</c:v>
                </c:pt>
                <c:pt idx="18">
                  <c:v>30.75665414336677</c:v>
                </c:pt>
                <c:pt idx="19">
                  <c:v>30.47506334336677</c:v>
                </c:pt>
                <c:pt idx="20">
                  <c:v>30.360727943366768</c:v>
                </c:pt>
                <c:pt idx="21">
                  <c:v>30.06766874336677</c:v>
                </c:pt>
                <c:pt idx="22">
                  <c:v>29.827257443366761</c:v>
                </c:pt>
                <c:pt idx="23">
                  <c:v>29.532203243366769</c:v>
                </c:pt>
                <c:pt idx="24">
                  <c:v>29.177112243366771</c:v>
                </c:pt>
                <c:pt idx="25">
                  <c:v>28.89761384336677</c:v>
                </c:pt>
                <c:pt idx="26">
                  <c:v>28.68678514336677</c:v>
                </c:pt>
                <c:pt idx="27">
                  <c:v>28.346273943366771</c:v>
                </c:pt>
                <c:pt idx="28">
                  <c:v>28.257959643366771</c:v>
                </c:pt>
                <c:pt idx="29">
                  <c:v>28.006329843366771</c:v>
                </c:pt>
                <c:pt idx="30">
                  <c:v>27.739330443366772</c:v>
                </c:pt>
                <c:pt idx="31">
                  <c:v>27.485377443366769</c:v>
                </c:pt>
                <c:pt idx="32">
                  <c:v>27.050873943366771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157-4076-BD89-A45BECA74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(Rx)'!$A$68:$A$100</c15:sqref>
                        </c15:formulaRef>
                      </c:ext>
                    </c:extLst>
                    <c:numCache>
                      <c:formatCode>0_ 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(Rx)'!$D$68:$D$100</c15:sqref>
                        </c15:formulaRef>
                      </c:ext>
                    </c:extLst>
                    <c:numCache>
                      <c:formatCode>0.00_ </c:formatCode>
                      <c:ptCount val="33"/>
                      <c:pt idx="0">
                        <c:v>-8.9652744433946694</c:v>
                      </c:pt>
                      <c:pt idx="1">
                        <c:v>-9.2039479433946667</c:v>
                      </c:pt>
                      <c:pt idx="2">
                        <c:v>-9.4236093433946735</c:v>
                      </c:pt>
                      <c:pt idx="3">
                        <c:v>-9.6777629433946686</c:v>
                      </c:pt>
                      <c:pt idx="4">
                        <c:v>-9.8620456433946657</c:v>
                      </c:pt>
                      <c:pt idx="5">
                        <c:v>-10.09842994339467</c:v>
                      </c:pt>
                      <c:pt idx="6">
                        <c:v>-10.326718343394674</c:v>
                      </c:pt>
                      <c:pt idx="7">
                        <c:v>-10.56094304339468</c:v>
                      </c:pt>
                      <c:pt idx="8">
                        <c:v>-10.914702343394666</c:v>
                      </c:pt>
                      <c:pt idx="9">
                        <c:v>-11.201085143394664</c:v>
                      </c:pt>
                      <c:pt idx="10">
                        <c:v>-11.435415943394673</c:v>
                      </c:pt>
                      <c:pt idx="11">
                        <c:v>-11.688890343394675</c:v>
                      </c:pt>
                      <c:pt idx="12">
                        <c:v>-11.81490554339468</c:v>
                      </c:pt>
                      <c:pt idx="13">
                        <c:v>-12.085181643394666</c:v>
                      </c:pt>
                      <c:pt idx="14">
                        <c:v>-12.323582343394666</c:v>
                      </c:pt>
                      <c:pt idx="15">
                        <c:v>-12.588062543394667</c:v>
                      </c:pt>
                      <c:pt idx="16">
                        <c:v>-12.741862243394667</c:v>
                      </c:pt>
                      <c:pt idx="17">
                        <c:v>-13.025145443394667</c:v>
                      </c:pt>
                      <c:pt idx="18">
                        <c:v>-13.263796043394667</c:v>
                      </c:pt>
                      <c:pt idx="19">
                        <c:v>-13.545386843394667</c:v>
                      </c:pt>
                      <c:pt idx="20">
                        <c:v>-13.659722243394668</c:v>
                      </c:pt>
                      <c:pt idx="21">
                        <c:v>-13.952781443394667</c:v>
                      </c:pt>
                      <c:pt idx="22">
                        <c:v>-14.193192743394675</c:v>
                      </c:pt>
                      <c:pt idx="23">
                        <c:v>-14.488246943394667</c:v>
                      </c:pt>
                      <c:pt idx="24">
                        <c:v>-14.843337943394666</c:v>
                      </c:pt>
                      <c:pt idx="25">
                        <c:v>-15.122836343394667</c:v>
                      </c:pt>
                      <c:pt idx="26">
                        <c:v>-15.333665043394667</c:v>
                      </c:pt>
                      <c:pt idx="27">
                        <c:v>-15.674176243394665</c:v>
                      </c:pt>
                      <c:pt idx="28">
                        <c:v>-15.762490543394666</c:v>
                      </c:pt>
                      <c:pt idx="29">
                        <c:v>-16.014120343394666</c:v>
                      </c:pt>
                      <c:pt idx="30">
                        <c:v>-16.281119743394665</c:v>
                      </c:pt>
                      <c:pt idx="31">
                        <c:v>-16.535072743394668</c:v>
                      </c:pt>
                      <c:pt idx="32">
                        <c:v>-16.969576243394666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157-4076-BD89-A45BECA742F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 (Rx)'!$F$68:$F$100</c:f>
              <c:numCache>
                <c:formatCode>0.00_ </c:formatCode>
                <c:ptCount val="33"/>
                <c:pt idx="0">
                  <c:v>35.055175743366767</c:v>
                </c:pt>
                <c:pt idx="1">
                  <c:v>34.805175743366767</c:v>
                </c:pt>
                <c:pt idx="2">
                  <c:v>34.555175743366767</c:v>
                </c:pt>
                <c:pt idx="3">
                  <c:v>34.305175743366767</c:v>
                </c:pt>
                <c:pt idx="4">
                  <c:v>34.055175743366767</c:v>
                </c:pt>
                <c:pt idx="5">
                  <c:v>33.805175743366767</c:v>
                </c:pt>
                <c:pt idx="6">
                  <c:v>33.555175743366767</c:v>
                </c:pt>
                <c:pt idx="7">
                  <c:v>33.305175743366767</c:v>
                </c:pt>
                <c:pt idx="8">
                  <c:v>33.055175743366767</c:v>
                </c:pt>
                <c:pt idx="9">
                  <c:v>32.805175743366767</c:v>
                </c:pt>
                <c:pt idx="10">
                  <c:v>32.555175743366767</c:v>
                </c:pt>
                <c:pt idx="11">
                  <c:v>32.305175743366767</c:v>
                </c:pt>
                <c:pt idx="12">
                  <c:v>32.055175743366767</c:v>
                </c:pt>
                <c:pt idx="13">
                  <c:v>31.805175743366767</c:v>
                </c:pt>
                <c:pt idx="14">
                  <c:v>31.555175743366767</c:v>
                </c:pt>
                <c:pt idx="15">
                  <c:v>31.305175743366767</c:v>
                </c:pt>
                <c:pt idx="16">
                  <c:v>31.055175743366767</c:v>
                </c:pt>
                <c:pt idx="17">
                  <c:v>30.805175743366767</c:v>
                </c:pt>
                <c:pt idx="18">
                  <c:v>30.555175743366767</c:v>
                </c:pt>
                <c:pt idx="19">
                  <c:v>30.305175743366767</c:v>
                </c:pt>
                <c:pt idx="20">
                  <c:v>30.055175743366767</c:v>
                </c:pt>
                <c:pt idx="21">
                  <c:v>29.805175743366767</c:v>
                </c:pt>
                <c:pt idx="22">
                  <c:v>29.555175743366767</c:v>
                </c:pt>
                <c:pt idx="23">
                  <c:v>29.305175743366767</c:v>
                </c:pt>
                <c:pt idx="24">
                  <c:v>29.055175743366767</c:v>
                </c:pt>
                <c:pt idx="25">
                  <c:v>28.805175743366767</c:v>
                </c:pt>
                <c:pt idx="26">
                  <c:v>28.555175743366767</c:v>
                </c:pt>
                <c:pt idx="27">
                  <c:v>28.305175743366767</c:v>
                </c:pt>
                <c:pt idx="28">
                  <c:v>28.055175743366767</c:v>
                </c:pt>
                <c:pt idx="29">
                  <c:v>27.805175743366767</c:v>
                </c:pt>
                <c:pt idx="30">
                  <c:v>27.555175743366767</c:v>
                </c:pt>
                <c:pt idx="31">
                  <c:v>27.305175743366767</c:v>
                </c:pt>
                <c:pt idx="32">
                  <c:v>27.055175743366767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157-4076-BD89-A45BECA742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 (Rx)'!$A$68:$A$99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 (Rx)'!$AA$68:$AA$100</c15:sqref>
                        </c15:formulaRef>
                      </c:ext>
                    </c:extLst>
                    <c:numCache>
                      <c:formatCode>0.000_ </c:formatCode>
                      <c:ptCount val="33"/>
                      <c:pt idx="0">
                        <c:v>8.9362701212000017E-2</c:v>
                      </c:pt>
                      <c:pt idx="1">
                        <c:v>8.9414227190000001E-2</c:v>
                      </c:pt>
                      <c:pt idx="2">
                        <c:v>8.9314298067000003E-2</c:v>
                      </c:pt>
                      <c:pt idx="3">
                        <c:v>8.9307054149000004E-2</c:v>
                      </c:pt>
                      <c:pt idx="4">
                        <c:v>8.9272658973999997E-2</c:v>
                      </c:pt>
                      <c:pt idx="5">
                        <c:v>8.930509792800001E-2</c:v>
                      </c:pt>
                      <c:pt idx="6">
                        <c:v>8.9274296224999994E-2</c:v>
                      </c:pt>
                      <c:pt idx="7">
                        <c:v>8.9235455970000016E-2</c:v>
                      </c:pt>
                      <c:pt idx="8">
                        <c:v>8.9177646910000019E-2</c:v>
                      </c:pt>
                      <c:pt idx="9">
                        <c:v>8.9159386872000021E-2</c:v>
                      </c:pt>
                      <c:pt idx="10">
                        <c:v>8.9309635452999997E-2</c:v>
                      </c:pt>
                      <c:pt idx="11">
                        <c:v>8.924146662900001E-2</c:v>
                      </c:pt>
                      <c:pt idx="12">
                        <c:v>8.9243167646999993E-2</c:v>
                      </c:pt>
                      <c:pt idx="13">
                        <c:v>8.9265395668000014E-2</c:v>
                      </c:pt>
                      <c:pt idx="14">
                        <c:v>8.9273592550000003E-2</c:v>
                      </c:pt>
                      <c:pt idx="15">
                        <c:v>8.9206203696000019E-2</c:v>
                      </c:pt>
                      <c:pt idx="16">
                        <c:v>8.9195573102999998E-2</c:v>
                      </c:pt>
                      <c:pt idx="17">
                        <c:v>8.9270964108999998E-2</c:v>
                      </c:pt>
                      <c:pt idx="18">
                        <c:v>8.9220197327000011E-2</c:v>
                      </c:pt>
                      <c:pt idx="19">
                        <c:v>8.9183693440999995E-2</c:v>
                      </c:pt>
                      <c:pt idx="20">
                        <c:v>8.9245195348999995E-2</c:v>
                      </c:pt>
                      <c:pt idx="21">
                        <c:v>8.9186097066000003E-2</c:v>
                      </c:pt>
                      <c:pt idx="22">
                        <c:v>8.9108569038000005E-2</c:v>
                      </c:pt>
                      <c:pt idx="23">
                        <c:v>8.9105067302999996E-2</c:v>
                      </c:pt>
                      <c:pt idx="24">
                        <c:v>8.9033960001000015E-2</c:v>
                      </c:pt>
                      <c:pt idx="25">
                        <c:v>8.902895834000002E-2</c:v>
                      </c:pt>
                      <c:pt idx="26">
                        <c:v>8.9034155370000007E-2</c:v>
                      </c:pt>
                      <c:pt idx="27">
                        <c:v>8.9158147723000014E-2</c:v>
                      </c:pt>
                      <c:pt idx="28">
                        <c:v>8.8958329264000005E-2</c:v>
                      </c:pt>
                      <c:pt idx="29">
                        <c:v>8.8995569016000003E-2</c:v>
                      </c:pt>
                      <c:pt idx="30">
                        <c:v>8.9016068697000017E-2</c:v>
                      </c:pt>
                      <c:pt idx="31">
                        <c:v>8.8994552288000003E-2</c:v>
                      </c:pt>
                      <c:pt idx="32">
                        <c:v>8.8999553458000008E-2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157-4076-BD89-A45BECA742F9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ax val="3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4674-4F8E-B20E-E5DBCB31C5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'Gain Accuracy (Rx)'!$A$3:$A$66</c15:sqref>
                  </c15:fullRef>
                </c:ext>
              </c:extLst>
              <c:f>('Gain Accuracy (Rx)'!$A$3,'Gain Accuracy (Rx)'!$A$7,'Gain Accuracy (Rx)'!$A$11,'Gain Accuracy (Rx)'!$A$15,'Gain Accuracy (Rx)'!$A$19,'Gain Accuracy (Rx)'!$A$23,'Gain Accuracy (Rx)'!$A$27,'Gain Accuracy (Rx)'!$A$31,'Gain Accuracy (Rx)'!$A$35,'Gain Accuracy (Rx)'!$A$39,'Gain Accuracy (Rx)'!$A$43,'Gain Accuracy (Rx)'!$A$47,'Gain Accuracy (Rx)'!$A$51,'Gain Accuracy (Rx)'!$A$55,'Gain Accuracy (Rx)'!$A$59,'Gain Accuracy (Rx)'!$A$63)</c:f>
              <c:numCache>
                <c:formatCode>0_ </c:formatCode>
                <c:ptCount val="16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(Rx)'!$E$3:$E$66</c15:sqref>
                  </c15:fullRef>
                </c:ext>
              </c:extLst>
              <c:f>('Gain Accuracy (Rx)'!$E$3,'Gain Accuracy (Rx)'!$E$7,'Gain Accuracy (Rx)'!$E$11,'Gain Accuracy (Rx)'!$E$15,'Gain Accuracy (Rx)'!$E$19,'Gain Accuracy (Rx)'!$E$23,'Gain Accuracy (Rx)'!$E$27,'Gain Accuracy (Rx)'!$E$31,'Gain Accuracy (Rx)'!$E$35,'Gain Accuracy (Rx)'!$E$39,'Gain Accuracy (Rx)'!$E$43,'Gain Accuracy (Rx)'!$E$47,'Gain Accuracy (Rx)'!$E$51,'Gain Accuracy (Rx)'!$E$55,'Gain Accuracy (Rx)'!$E$59,'Gain Accuracy (Rx)'!$E$63)</c:f>
              <c:numCache>
                <c:formatCode>0.00_ </c:formatCode>
                <c:ptCount val="16"/>
                <c:pt idx="0">
                  <c:v>41.476183243366769</c:v>
                </c:pt>
                <c:pt idx="1">
                  <c:v>40.872538643366767</c:v>
                </c:pt>
                <c:pt idx="2">
                  <c:v>39.380714743366767</c:v>
                </c:pt>
                <c:pt idx="3">
                  <c:v>38.576204543366771</c:v>
                </c:pt>
                <c:pt idx="4">
                  <c:v>37.140267743366763</c:v>
                </c:pt>
                <c:pt idx="5">
                  <c:v>36.201455143366772</c:v>
                </c:pt>
                <c:pt idx="6">
                  <c:v>35.039161043366768</c:v>
                </c:pt>
                <c:pt idx="7">
                  <c:v>34.047428143366773</c:v>
                </c:pt>
                <c:pt idx="8">
                  <c:v>32.857714243366772</c:v>
                </c:pt>
                <c:pt idx="9">
                  <c:v>31.806781543366771</c:v>
                </c:pt>
                <c:pt idx="10">
                  <c:v>30.70776714336677</c:v>
                </c:pt>
                <c:pt idx="11">
                  <c:v>29.58209924336677</c:v>
                </c:pt>
                <c:pt idx="12">
                  <c:v>28.418844943366771</c:v>
                </c:pt>
                <c:pt idx="13">
                  <c:v>27.219684243366771</c:v>
                </c:pt>
                <c:pt idx="14">
                  <c:v>26.13637084336677</c:v>
                </c:pt>
                <c:pt idx="15">
                  <c:v>24.840123843366769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categoryFilterExceptions>
                <c15:categoryFilterException>
                  <c15:sqref>'Gain Accuracy (Rx)'!$E$66</c15:sqref>
                  <c15:dLbl>
                    <c:idx val="15"/>
                    <c:layout>
                      <c:manualLayout>
                        <c:x val="-4.6814986619945063E-2"/>
                        <c:y val="6.5425146622426808E-2"/>
                      </c:manualLayout>
                    </c:layout>
                    <c:tx>
                      <c:rich>
                        <a:bodyPr/>
                        <a:lstStyle/>
                        <a:p>
                          <a:fld id="{6F757F46-F309-427C-B62A-A1B55B8CA037}" type="VALUE">
                            <a:rPr lang="en-US" altLang="ko-KR"/>
                            <a:pPr/>
                            <a:t>[값]</a:t>
                          </a:fld>
                          <a:r>
                            <a:rPr lang="en-US" altLang="ko-KR"/>
                            <a:t> dB</a:t>
                          </a:r>
                        </a:p>
                        <a:p>
                          <a:r>
                            <a:rPr lang="en-US" altLang="ko-KR"/>
                            <a:t>at Index 63</a:t>
                          </a:r>
                        </a:p>
                      </c:rich>
                    </c:tx>
                    <c:showLegendKey val="0"/>
                    <c:showVal val="1"/>
                    <c:showCatName val="0"/>
                    <c:showSerName val="0"/>
                    <c:showPercent val="0"/>
                    <c:showBubbleSize val="0"/>
                    <c:extLst>
                      <c:ext uri="{CE6537A1-D6FC-4f65-9D91-7224C49458BB}">
                        <c15:dlblFieldTable/>
                        <c15:showDataLabelsRange val="0"/>
                      </c:ext>
                      <c:ext xmlns:c16="http://schemas.microsoft.com/office/drawing/2014/chart" uri="{C3380CC4-5D6E-409C-BE32-E72D297353CC}">
                        <c16:uniqueId val="{00000000-7250-416A-85CA-29D355F5CF78}"/>
                      </c:ext>
                    </c:extLst>
                  </c15:dLbl>
                </c15:categoryFilterException>
              </c15:categoryFilterExceptions>
            </c:ext>
            <c:ext xmlns:c16="http://schemas.microsoft.com/office/drawing/2014/chart" uri="{C3380CC4-5D6E-409C-BE32-E72D297353CC}">
              <c16:uniqueId val="{00000002-4674-4F8E-B20E-E5DBCB31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(Rx)'!$A$3:$A$66</c15:sqref>
                        </c15:fullRef>
                        <c15:formulaRef>
                          <c15:sqref>('Gain Accuracy (Rx)'!$A$3,'Gain Accuracy (Rx)'!$A$7,'Gain Accuracy (Rx)'!$A$11,'Gain Accuracy (Rx)'!$A$15,'Gain Accuracy (Rx)'!$A$19,'Gain Accuracy (Rx)'!$A$23,'Gain Accuracy (Rx)'!$A$27,'Gain Accuracy (Rx)'!$A$31,'Gain Accuracy (Rx)'!$A$35,'Gain Accuracy (Rx)'!$A$39,'Gain Accuracy (Rx)'!$A$43,'Gain Accuracy (Rx)'!$A$47,'Gain Accuracy (Rx)'!$A$51,'Gain Accuracy (Rx)'!$A$55,'Gain Accuracy (Rx)'!$A$59,'Gain Accuracy (Rx)'!$A$63)</c15:sqref>
                        </c15:formulaRef>
                      </c:ext>
                    </c:extLst>
                    <c:numCache>
                      <c:formatCode>0_ </c:formatCode>
                      <c:ptCount val="16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  <c:pt idx="8">
                        <c:v>32</c:v>
                      </c:pt>
                      <c:pt idx="9">
                        <c:v>36</c:v>
                      </c:pt>
                      <c:pt idx="10">
                        <c:v>40</c:v>
                      </c:pt>
                      <c:pt idx="11">
                        <c:v>44</c:v>
                      </c:pt>
                      <c:pt idx="12">
                        <c:v>48</c:v>
                      </c:pt>
                      <c:pt idx="13">
                        <c:v>52</c:v>
                      </c:pt>
                      <c:pt idx="14">
                        <c:v>56</c:v>
                      </c:pt>
                      <c:pt idx="15">
                        <c:v>60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(Rx)'!$D$3:$D$66</c15:sqref>
                        </c15:fullRef>
                        <c15:formulaRef>
                          <c15:sqref>('Gain Accuracy (Rx)'!$D$3,'Gain Accuracy (Rx)'!$D$7,'Gain Accuracy (Rx)'!$D$11,'Gain Accuracy (Rx)'!$D$15,'Gain Accuracy (Rx)'!$D$19,'Gain Accuracy (Rx)'!$D$23,'Gain Accuracy (Rx)'!$D$27,'Gain Accuracy (Rx)'!$D$31,'Gain Accuracy (Rx)'!$D$35,'Gain Accuracy (Rx)'!$D$39,'Gain Accuracy (Rx)'!$D$43,'Gain Accuracy (Rx)'!$D$47,'Gain Accuracy (Rx)'!$D$51,'Gain Accuracy (Rx)'!$D$55,'Gain Accuracy (Rx)'!$D$59,'Gain Accuracy (Rx)'!$D$63)</c15:sqref>
                        </c15:formulaRef>
                      </c:ext>
                    </c:extLst>
                    <c:numCache>
                      <c:formatCode>0.00_ </c:formatCode>
                      <c:ptCount val="16"/>
                      <c:pt idx="0">
                        <c:v>-2.5442669433946676</c:v>
                      </c:pt>
                      <c:pt idx="1">
                        <c:v>-3.1479115433946703</c:v>
                      </c:pt>
                      <c:pt idx="2">
                        <c:v>-4.6397354433946703</c:v>
                      </c:pt>
                      <c:pt idx="3">
                        <c:v>-5.444245643394666</c:v>
                      </c:pt>
                      <c:pt idx="4">
                        <c:v>-6.8801824433946734</c:v>
                      </c:pt>
                      <c:pt idx="5">
                        <c:v>-7.8189950433946649</c:v>
                      </c:pt>
                      <c:pt idx="6">
                        <c:v>-8.9812891433946689</c:v>
                      </c:pt>
                      <c:pt idx="7">
                        <c:v>-9.9730220433946641</c:v>
                      </c:pt>
                      <c:pt idx="8">
                        <c:v>-11.162735943394665</c:v>
                      </c:pt>
                      <c:pt idx="9">
                        <c:v>-12.213668643394666</c:v>
                      </c:pt>
                      <c:pt idx="10">
                        <c:v>-13.312683043394667</c:v>
                      </c:pt>
                      <c:pt idx="11">
                        <c:v>-14.438350943394667</c:v>
                      </c:pt>
                      <c:pt idx="12">
                        <c:v>-15.601605243394665</c:v>
                      </c:pt>
                      <c:pt idx="13">
                        <c:v>-16.800765943394666</c:v>
                      </c:pt>
                      <c:pt idx="14">
                        <c:v>-17.884079343394667</c:v>
                      </c:pt>
                      <c:pt idx="15">
                        <c:v>-19.180326343394668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4674-4F8E-B20E-E5DBCB31C572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16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pt idx="6">
                <c:v>25</c:v>
              </c:pt>
              <c:pt idx="7">
                <c:v>29</c:v>
              </c:pt>
              <c:pt idx="8">
                <c:v>33</c:v>
              </c:pt>
              <c:pt idx="9">
                <c:v>37</c:v>
              </c:pt>
              <c:pt idx="10">
                <c:v>41</c:v>
              </c:pt>
              <c:pt idx="11">
                <c:v>45</c:v>
              </c:pt>
              <c:pt idx="12">
                <c:v>49</c:v>
              </c:pt>
              <c:pt idx="13">
                <c:v>53</c:v>
              </c:pt>
              <c:pt idx="14">
                <c:v>57</c:v>
              </c:pt>
              <c:pt idx="15">
                <c:v>61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(Rx)'!$F$3:$F$66</c15:sqref>
                  </c15:fullRef>
                </c:ext>
              </c:extLst>
              <c:f>('Gain Accuracy (Rx)'!$F$3,'Gain Accuracy (Rx)'!$F$7,'Gain Accuracy (Rx)'!$F$11,'Gain Accuracy (Rx)'!$F$15,'Gain Accuracy (Rx)'!$F$19,'Gain Accuracy (Rx)'!$F$23,'Gain Accuracy (Rx)'!$F$27,'Gain Accuracy (Rx)'!$F$31,'Gain Accuracy (Rx)'!$F$35,'Gain Accuracy (Rx)'!$F$39,'Gain Accuracy (Rx)'!$F$43,'Gain Accuracy (Rx)'!$F$47,'Gain Accuracy (Rx)'!$F$51,'Gain Accuracy (Rx)'!$F$55,'Gain Accuracy (Rx)'!$F$59,'Gain Accuracy (Rx)'!$F$63)</c:f>
              <c:numCache>
                <c:formatCode>0.00_ </c:formatCode>
                <c:ptCount val="16"/>
                <c:pt idx="0">
                  <c:v>41.476183243366769</c:v>
                </c:pt>
                <c:pt idx="1">
                  <c:v>40.476183243366769</c:v>
                </c:pt>
                <c:pt idx="2">
                  <c:v>39.476183243366769</c:v>
                </c:pt>
                <c:pt idx="3">
                  <c:v>38.476183243366769</c:v>
                </c:pt>
                <c:pt idx="4">
                  <c:v>37.476183243366769</c:v>
                </c:pt>
                <c:pt idx="5">
                  <c:v>36.476183243366769</c:v>
                </c:pt>
                <c:pt idx="6">
                  <c:v>35.476183243366769</c:v>
                </c:pt>
                <c:pt idx="7">
                  <c:v>34.476183243366769</c:v>
                </c:pt>
                <c:pt idx="8">
                  <c:v>33.476183243366769</c:v>
                </c:pt>
                <c:pt idx="9">
                  <c:v>32.476183243366769</c:v>
                </c:pt>
                <c:pt idx="10">
                  <c:v>31.476183243366769</c:v>
                </c:pt>
                <c:pt idx="11">
                  <c:v>30.476183243366769</c:v>
                </c:pt>
                <c:pt idx="12">
                  <c:v>29.476183243366769</c:v>
                </c:pt>
                <c:pt idx="13">
                  <c:v>28.476183243366769</c:v>
                </c:pt>
                <c:pt idx="14">
                  <c:v>27.476183243366769</c:v>
                </c:pt>
                <c:pt idx="15">
                  <c:v>26.476183243366769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74-4F8E-B20E-E5DBCB31C5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(Rx)'!$A$3:$A$34</c15:sqref>
                        </c15:fullRef>
                        <c15:formulaRef>
                          <c15:sqref>('Gain Accuracy (Rx)'!$A$3,'Gain Accuracy (Rx)'!$A$7,'Gain Accuracy (Rx)'!$A$11,'Gain Accuracy (Rx)'!$A$15,'Gain Accuracy (Rx)'!$A$19,'Gain Accuracy (Rx)'!$A$23,'Gain Accuracy (Rx)'!$A$27,'Gain Accuracy (Rx)'!$A$31)</c15:sqref>
                        </c15:formulaRef>
                      </c:ext>
                    </c:extLst>
                    <c:numCache>
                      <c:formatCode>0_ </c:formatCode>
                      <c:ptCount val="8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(Rx)'!$AA$3:$AA$66</c15:sqref>
                        </c15:fullRef>
                        <c15:formulaRef>
                          <c15:sqref>('Gain Accuracy (Rx)'!$AA$3,'Gain Accuracy (Rx)'!$AA$7,'Gain Accuracy (Rx)'!$AA$11,'Gain Accuracy (Rx)'!$AA$15,'Gain Accuracy (Rx)'!$AA$19,'Gain Accuracy (Rx)'!$AA$23,'Gain Accuracy (Rx)'!$AA$27,'Gain Accuracy (Rx)'!$AA$31,'Gain Accuracy (Rx)'!$AA$35,'Gain Accuracy (Rx)'!$AA$39,'Gain Accuracy (Rx)'!$AA$43,'Gain Accuracy (Rx)'!$AA$47,'Gain Accuracy (Rx)'!$AA$51,'Gain Accuracy (Rx)'!$AA$55,'Gain Accuracy (Rx)'!$AA$59,'Gain Accuracy (Rx)'!$AA$63)</c15:sqref>
                        </c15:formulaRef>
                      </c:ext>
                    </c:extLst>
                    <c:numCache>
                      <c:formatCode>0.00_ </c:formatCode>
                      <c:ptCount val="16"/>
                      <c:pt idx="0">
                        <c:v>8.9643646957000001E-2</c:v>
                      </c:pt>
                      <c:pt idx="1">
                        <c:v>8.9509346541000012E-2</c:v>
                      </c:pt>
                      <c:pt idx="2">
                        <c:v>8.9426454129999999E-2</c:v>
                      </c:pt>
                      <c:pt idx="3">
                        <c:v>8.9229587500999991E-2</c:v>
                      </c:pt>
                      <c:pt idx="4">
                        <c:v>8.9217068277000017E-2</c:v>
                      </c:pt>
                      <c:pt idx="5">
                        <c:v>8.9196513647000014E-2</c:v>
                      </c:pt>
                      <c:pt idx="6">
                        <c:v>8.9135581758000015E-2</c:v>
                      </c:pt>
                      <c:pt idx="7">
                        <c:v>8.9215151559000005E-2</c:v>
                      </c:pt>
                      <c:pt idx="8">
                        <c:v>8.9088373370000001E-2</c:v>
                      </c:pt>
                      <c:pt idx="9">
                        <c:v>8.9028187593000005E-2</c:v>
                      </c:pt>
                      <c:pt idx="10">
                        <c:v>8.9097380711000013E-2</c:v>
                      </c:pt>
                      <c:pt idx="11">
                        <c:v>8.9162902352000001E-2</c:v>
                      </c:pt>
                      <c:pt idx="12">
                        <c:v>8.9120623317999997E-2</c:v>
                      </c:pt>
                      <c:pt idx="13">
                        <c:v>8.9062243983E-2</c:v>
                      </c:pt>
                      <c:pt idx="14">
                        <c:v>8.9128082619000015E-2</c:v>
                      </c:pt>
                      <c:pt idx="15">
                        <c:v>8.9148222160000012E-2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4674-4F8E-B20E-E5DBCB31C572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(RX-19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6D8-4101-9551-F53129C45B57}"/>
                </c:ext>
              </c:extLst>
            </c:dLbl>
            <c:dLbl>
              <c:idx val="8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6D8-4101-9551-F53129C45B5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'Gain Accuracy (Rx)'!$A$68:$A$100</c15:sqref>
                  </c15:fullRef>
                </c:ext>
              </c:extLst>
              <c:f>('Gain Accuracy (Rx)'!$A$68,'Gain Accuracy (Rx)'!$A$72,'Gain Accuracy (Rx)'!$A$76,'Gain Accuracy (Rx)'!$A$80,'Gain Accuracy (Rx)'!$A$84,'Gain Accuracy (Rx)'!$A$88,'Gain Accuracy (Rx)'!$A$92,'Gain Accuracy (Rx)'!$A$96,'Gain Accuracy (Rx)'!$A$100)</c:f>
              <c:numCache>
                <c:formatCode>0_ </c:formatCode>
                <c:ptCount val="9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(Rx)'!$E$68:$E$100</c15:sqref>
                  </c15:fullRef>
                </c:ext>
              </c:extLst>
              <c:f>('Gain Accuracy (Rx)'!$E$68,'Gain Accuracy (Rx)'!$E$72,'Gain Accuracy (Rx)'!$E$76,'Gain Accuracy (Rx)'!$E$80,'Gain Accuracy (Rx)'!$E$84,'Gain Accuracy (Rx)'!$E$88,'Gain Accuracy (Rx)'!$E$92,'Gain Accuracy (Rx)'!$E$96,'Gain Accuracy (Rx)'!$E$100)</c:f>
              <c:numCache>
                <c:formatCode>0.00_ </c:formatCode>
                <c:ptCount val="9"/>
                <c:pt idx="0">
                  <c:v>35.055175743366767</c:v>
                </c:pt>
                <c:pt idx="1">
                  <c:v>34.158404543366771</c:v>
                </c:pt>
                <c:pt idx="2">
                  <c:v>33.105747843366771</c:v>
                </c:pt>
                <c:pt idx="3">
                  <c:v>32.205544643366757</c:v>
                </c:pt>
                <c:pt idx="4">
                  <c:v>31.27858794336677</c:v>
                </c:pt>
                <c:pt idx="5">
                  <c:v>30.360727943366768</c:v>
                </c:pt>
                <c:pt idx="6">
                  <c:v>29.177112243366771</c:v>
                </c:pt>
                <c:pt idx="7">
                  <c:v>28.257959643366771</c:v>
                </c:pt>
                <c:pt idx="8">
                  <c:v>27.050873943366771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6D8-4101-9551-F53129C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(Rx)'!$A$68:$A$100</c15:sqref>
                        </c15:fullRef>
                        <c15:formulaRef>
                          <c15:sqref>('Gain Accuracy (Rx)'!$A$68,'Gain Accuracy (Rx)'!$A$72,'Gain Accuracy (Rx)'!$A$76,'Gain Accuracy (Rx)'!$A$80,'Gain Accuracy (Rx)'!$A$84,'Gain Accuracy (Rx)'!$A$88,'Gain Accuracy (Rx)'!$A$92,'Gain Accuracy (Rx)'!$A$96,'Gain Accuracy (Rx)'!$A$100)</c15:sqref>
                        </c15:formulaRef>
                      </c:ext>
                    </c:extLst>
                    <c:numCache>
                      <c:formatCode>0_ </c:formatCode>
                      <c:ptCount val="9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  <c:pt idx="8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(Rx)'!$D$68:$D$100</c15:sqref>
                        </c15:fullRef>
                        <c15:formulaRef>
                          <c15:sqref>('Gain Accuracy (Rx)'!$D$68,'Gain Accuracy (Rx)'!$D$72,'Gain Accuracy (Rx)'!$D$76,'Gain Accuracy (Rx)'!$D$80,'Gain Accuracy (Rx)'!$D$84,'Gain Accuracy (Rx)'!$D$88,'Gain Accuracy (Rx)'!$D$92,'Gain Accuracy (Rx)'!$D$96,'Gain Accuracy (Rx)'!$D$100)</c15:sqref>
                        </c15:formulaRef>
                      </c:ext>
                    </c:extLst>
                    <c:numCache>
                      <c:formatCode>0.00_ </c:formatCode>
                      <c:ptCount val="9"/>
                      <c:pt idx="0">
                        <c:v>-8.9652744433946694</c:v>
                      </c:pt>
                      <c:pt idx="1">
                        <c:v>-9.8620456433946657</c:v>
                      </c:pt>
                      <c:pt idx="2">
                        <c:v>-10.914702343394666</c:v>
                      </c:pt>
                      <c:pt idx="3">
                        <c:v>-11.81490554339468</c:v>
                      </c:pt>
                      <c:pt idx="4">
                        <c:v>-12.741862243394667</c:v>
                      </c:pt>
                      <c:pt idx="5">
                        <c:v>-13.659722243394668</c:v>
                      </c:pt>
                      <c:pt idx="6">
                        <c:v>-14.843337943394666</c:v>
                      </c:pt>
                      <c:pt idx="7">
                        <c:v>-15.762490543394666</c:v>
                      </c:pt>
                      <c:pt idx="8">
                        <c:v>-16.969576243394666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6D8-4101-9551-F53129C45B57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cat>
            <c:strLit>
              <c:ptCount val="9"/>
              <c:pt idx="0">
                <c:v>1</c:v>
              </c:pt>
              <c:pt idx="1">
                <c:v>5</c:v>
              </c:pt>
              <c:pt idx="2">
                <c:v>9</c:v>
              </c:pt>
              <c:pt idx="3">
                <c:v>13</c:v>
              </c:pt>
              <c:pt idx="4">
                <c:v>17</c:v>
              </c:pt>
              <c:pt idx="5">
                <c:v>21</c:v>
              </c:pt>
              <c:pt idx="6">
                <c:v>25</c:v>
              </c:pt>
              <c:pt idx="7">
                <c:v>29</c:v>
              </c:pt>
              <c:pt idx="8">
                <c:v>33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'Gain Accuracy (Rx)'!$F$68:$F$100</c15:sqref>
                  </c15:fullRef>
                </c:ext>
              </c:extLst>
              <c:f>('Gain Accuracy (Rx)'!$F$68,'Gain Accuracy (Rx)'!$F$72,'Gain Accuracy (Rx)'!$F$76,'Gain Accuracy (Rx)'!$F$80,'Gain Accuracy (Rx)'!$F$84,'Gain Accuracy (Rx)'!$F$88,'Gain Accuracy (Rx)'!$F$92,'Gain Accuracy (Rx)'!$F$96,'Gain Accuracy (Rx)'!$F$100)</c:f>
              <c:numCache>
                <c:formatCode>0.00_ </c:formatCode>
                <c:ptCount val="9"/>
                <c:pt idx="0">
                  <c:v>35.055175743366767</c:v>
                </c:pt>
                <c:pt idx="1">
                  <c:v>34.055175743366767</c:v>
                </c:pt>
                <c:pt idx="2">
                  <c:v>33.055175743366767</c:v>
                </c:pt>
                <c:pt idx="3">
                  <c:v>32.055175743366767</c:v>
                </c:pt>
                <c:pt idx="4">
                  <c:v>31.055175743366767</c:v>
                </c:pt>
                <c:pt idx="5">
                  <c:v>30.055175743366767</c:v>
                </c:pt>
                <c:pt idx="6">
                  <c:v>29.055175743366767</c:v>
                </c:pt>
                <c:pt idx="7">
                  <c:v>28.055175743366767</c:v>
                </c:pt>
                <c:pt idx="8">
                  <c:v>27.055175743366767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6D8-4101-9551-F53129C45B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'Gain Accuracy (Rx)'!$A$68:$A$99</c15:sqref>
                        </c15:fullRef>
                        <c15:formulaRef>
                          <c15:sqref>('Gain Accuracy (Rx)'!$A$68,'Gain Accuracy (Rx)'!$A$72,'Gain Accuracy (Rx)'!$A$76,'Gain Accuracy (Rx)'!$A$80,'Gain Accuracy (Rx)'!$A$84,'Gain Accuracy (Rx)'!$A$88,'Gain Accuracy (Rx)'!$A$92,'Gain Accuracy (Rx)'!$A$96)</c15:sqref>
                        </c15:formulaRef>
                      </c:ext>
                    </c:extLst>
                    <c:numCache>
                      <c:formatCode>0_ </c:formatCode>
                      <c:ptCount val="8"/>
                      <c:pt idx="0">
                        <c:v>0</c:v>
                      </c:pt>
                      <c:pt idx="1">
                        <c:v>4</c:v>
                      </c:pt>
                      <c:pt idx="2">
                        <c:v>8</c:v>
                      </c:pt>
                      <c:pt idx="3">
                        <c:v>12</c:v>
                      </c:pt>
                      <c:pt idx="4">
                        <c:v>16</c:v>
                      </c:pt>
                      <c:pt idx="5">
                        <c:v>20</c:v>
                      </c:pt>
                      <c:pt idx="6">
                        <c:v>24</c:v>
                      </c:pt>
                      <c:pt idx="7">
                        <c:v>28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'Gain Accuracy (Rx)'!$AA$68:$AA$100</c15:sqref>
                        </c15:fullRef>
                        <c15:formulaRef>
                          <c15:sqref>('Gain Accuracy (Rx)'!$AA$68,'Gain Accuracy (Rx)'!$AA$72,'Gain Accuracy (Rx)'!$AA$76,'Gain Accuracy (Rx)'!$AA$80,'Gain Accuracy (Rx)'!$AA$84,'Gain Accuracy (Rx)'!$AA$88,'Gain Accuracy (Rx)'!$AA$92,'Gain Accuracy (Rx)'!$AA$96,'Gain Accuracy (Rx)'!$AA$100)</c15:sqref>
                        </c15:formulaRef>
                      </c:ext>
                    </c:extLst>
                    <c:numCache>
                      <c:formatCode>0.000_ </c:formatCode>
                      <c:ptCount val="9"/>
                      <c:pt idx="0">
                        <c:v>8.9362701212000017E-2</c:v>
                      </c:pt>
                      <c:pt idx="1">
                        <c:v>8.9272658973999997E-2</c:v>
                      </c:pt>
                      <c:pt idx="2">
                        <c:v>8.9177646910000019E-2</c:v>
                      </c:pt>
                      <c:pt idx="3">
                        <c:v>8.9243167646999993E-2</c:v>
                      </c:pt>
                      <c:pt idx="4">
                        <c:v>8.9195573102999998E-2</c:v>
                      </c:pt>
                      <c:pt idx="5">
                        <c:v>8.9245195348999995E-2</c:v>
                      </c:pt>
                      <c:pt idx="6">
                        <c:v>8.9033960001000015E-2</c:v>
                      </c:pt>
                      <c:pt idx="7">
                        <c:v>8.8958329264000005E-2</c:v>
                      </c:pt>
                      <c:pt idx="8">
                        <c:v>8.8999553458000008E-2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6D8-4101-9551-F53129C45B57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ax val="3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</a:t>
            </a:r>
            <a:r>
              <a:rPr lang="en-US" altLang="ko-KR" baseline="0"/>
              <a:t> </a:t>
            </a:r>
            <a:r>
              <a:rPr lang="en-US" altLang="ko-KR"/>
              <a:t>Common Attn</a:t>
            </a:r>
            <a:r>
              <a:rPr lang="en-US" altLang="ko-KR" baseline="0"/>
              <a:t> Index Sweep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Accuracy_B1V0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1.4044495985983476E-2"/>
                  <c:y val="0.18926560272916326"/>
                </c:manualLayout>
              </c:layout>
              <c:tx>
                <c:rich>
                  <a:bodyPr/>
                  <a:lstStyle/>
                  <a:p>
                    <a:fld id="{A3DE14C3-3A0C-4585-B4B0-18C5E81DDB5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809B-45B4-B2B3-7C43900C428A}"/>
                </c:ext>
              </c:extLst>
            </c:dLbl>
            <c:dLbl>
              <c:idx val="63"/>
              <c:layout>
                <c:manualLayout>
                  <c:x val="-4.6814986619945063E-2"/>
                  <c:y val="6.5425146622426808E-2"/>
                </c:manualLayout>
              </c:layout>
              <c:tx>
                <c:rich>
                  <a:bodyPr/>
                  <a:lstStyle/>
                  <a:p>
                    <a:fld id="{6F757F46-F309-427C-B62A-A1B55B8CA03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63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809B-45B4-B2B3-7C43900C428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Accuracy_B1V0 (Rx)'!$A$3:$A$66</c:f>
              <c:numCache>
                <c:formatCode>0_ </c:formatCode>
                <c:ptCount val="64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</c:numCache>
            </c:numRef>
          </c:cat>
          <c:val>
            <c:numRef>
              <c:f>'Gain Accuracy_B1V0 (Rx)'!$E$3:$E$66</c:f>
              <c:numCache>
                <c:formatCode>0.00_ </c:formatCode>
                <c:ptCount val="64"/>
                <c:pt idx="0">
                  <c:v>40.906447567533966</c:v>
                </c:pt>
                <c:pt idx="1">
                  <c:v>40.892325967533971</c:v>
                </c:pt>
                <c:pt idx="2">
                  <c:v>40.851272667533969</c:v>
                </c:pt>
                <c:pt idx="3">
                  <c:v>40.799232267533966</c:v>
                </c:pt>
                <c:pt idx="4">
                  <c:v>40.314719067533971</c:v>
                </c:pt>
                <c:pt idx="5">
                  <c:v>40.272008667533967</c:v>
                </c:pt>
                <c:pt idx="6">
                  <c:v>40.221845967533973</c:v>
                </c:pt>
                <c:pt idx="7">
                  <c:v>40.18095856753397</c:v>
                </c:pt>
                <c:pt idx="8">
                  <c:v>38.911176867533968</c:v>
                </c:pt>
                <c:pt idx="9">
                  <c:v>38.86933956753397</c:v>
                </c:pt>
                <c:pt idx="10">
                  <c:v>38.819818967533983</c:v>
                </c:pt>
                <c:pt idx="11">
                  <c:v>38.757211967533983</c:v>
                </c:pt>
                <c:pt idx="12">
                  <c:v>38.110333767533973</c:v>
                </c:pt>
                <c:pt idx="13">
                  <c:v>38.072267167533973</c:v>
                </c:pt>
                <c:pt idx="14">
                  <c:v>38.018025567533968</c:v>
                </c:pt>
                <c:pt idx="15">
                  <c:v>37.963075567533977</c:v>
                </c:pt>
                <c:pt idx="16">
                  <c:v>36.690595167533971</c:v>
                </c:pt>
                <c:pt idx="17">
                  <c:v>36.631208067533983</c:v>
                </c:pt>
                <c:pt idx="18">
                  <c:v>36.573534267533972</c:v>
                </c:pt>
                <c:pt idx="19">
                  <c:v>36.518024567533971</c:v>
                </c:pt>
                <c:pt idx="20">
                  <c:v>35.75544696753397</c:v>
                </c:pt>
                <c:pt idx="21">
                  <c:v>35.688701967533973</c:v>
                </c:pt>
                <c:pt idx="22">
                  <c:v>35.646097467533977</c:v>
                </c:pt>
                <c:pt idx="23">
                  <c:v>35.588201767533967</c:v>
                </c:pt>
                <c:pt idx="24">
                  <c:v>34.618049167533968</c:v>
                </c:pt>
                <c:pt idx="25">
                  <c:v>34.563842567533968</c:v>
                </c:pt>
                <c:pt idx="26">
                  <c:v>34.509487467533972</c:v>
                </c:pt>
                <c:pt idx="27">
                  <c:v>34.459867167533972</c:v>
                </c:pt>
                <c:pt idx="28">
                  <c:v>33.623413367533971</c:v>
                </c:pt>
                <c:pt idx="29">
                  <c:v>33.554858767533972</c:v>
                </c:pt>
                <c:pt idx="30">
                  <c:v>33.510935067533971</c:v>
                </c:pt>
                <c:pt idx="31">
                  <c:v>33.435410967533969</c:v>
                </c:pt>
                <c:pt idx="32">
                  <c:v>32.414068067533982</c:v>
                </c:pt>
                <c:pt idx="33">
                  <c:v>32.346793467533971</c:v>
                </c:pt>
                <c:pt idx="34">
                  <c:v>32.288598967533972</c:v>
                </c:pt>
                <c:pt idx="35">
                  <c:v>32.220130367533969</c:v>
                </c:pt>
                <c:pt idx="36">
                  <c:v>31.335418267533971</c:v>
                </c:pt>
                <c:pt idx="37">
                  <c:v>31.28110216753397</c:v>
                </c:pt>
                <c:pt idx="38">
                  <c:v>31.213128067533969</c:v>
                </c:pt>
                <c:pt idx="39">
                  <c:v>31.15103496753397</c:v>
                </c:pt>
                <c:pt idx="40">
                  <c:v>30.274884967533971</c:v>
                </c:pt>
                <c:pt idx="41">
                  <c:v>30.19416086753397</c:v>
                </c:pt>
                <c:pt idx="42">
                  <c:v>30.15505126753397</c:v>
                </c:pt>
                <c:pt idx="43">
                  <c:v>30.070810067533969</c:v>
                </c:pt>
                <c:pt idx="44">
                  <c:v>29.130056367533971</c:v>
                </c:pt>
                <c:pt idx="45">
                  <c:v>29.073846167533969</c:v>
                </c:pt>
                <c:pt idx="46">
                  <c:v>28.977798667533971</c:v>
                </c:pt>
                <c:pt idx="47">
                  <c:v>28.921043367533969</c:v>
                </c:pt>
                <c:pt idx="48">
                  <c:v>27.91435826753397</c:v>
                </c:pt>
                <c:pt idx="49">
                  <c:v>27.844127467533969</c:v>
                </c:pt>
                <c:pt idx="50">
                  <c:v>27.744218767533969</c:v>
                </c:pt>
                <c:pt idx="51">
                  <c:v>27.66805926753397</c:v>
                </c:pt>
                <c:pt idx="52">
                  <c:v>26.695332967533972</c:v>
                </c:pt>
                <c:pt idx="53">
                  <c:v>26.585832067533971</c:v>
                </c:pt>
                <c:pt idx="54">
                  <c:v>26.501297567533971</c:v>
                </c:pt>
                <c:pt idx="55">
                  <c:v>26.444129467533969</c:v>
                </c:pt>
                <c:pt idx="56">
                  <c:v>25.66710106753397</c:v>
                </c:pt>
                <c:pt idx="57">
                  <c:v>25.547017667533972</c:v>
                </c:pt>
                <c:pt idx="58">
                  <c:v>25.489640867533971</c:v>
                </c:pt>
                <c:pt idx="59">
                  <c:v>25.366359867533969</c:v>
                </c:pt>
                <c:pt idx="60">
                  <c:v>24.234038267533968</c:v>
                </c:pt>
                <c:pt idx="61">
                  <c:v>24.22633016753397</c:v>
                </c:pt>
                <c:pt idx="62">
                  <c:v>24.08038706753397</c:v>
                </c:pt>
                <c:pt idx="63">
                  <c:v>24.00490246753397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09B-45B4-B2B3-7C43900C4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Accuracy_B1V0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(Rx)'!$A$3:$A$66</c15:sqref>
                        </c15:formulaRef>
                      </c:ext>
                    </c:extLst>
                    <c:numCache>
                      <c:formatCode>0_ </c:formatCode>
                      <c:ptCount val="64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  <c:pt idx="33">
                        <c:v>33</c:v>
                      </c:pt>
                      <c:pt idx="34">
                        <c:v>34</c:v>
                      </c:pt>
                      <c:pt idx="35">
                        <c:v>35</c:v>
                      </c:pt>
                      <c:pt idx="36">
                        <c:v>36</c:v>
                      </c:pt>
                      <c:pt idx="37">
                        <c:v>37</c:v>
                      </c:pt>
                      <c:pt idx="38">
                        <c:v>38</c:v>
                      </c:pt>
                      <c:pt idx="39">
                        <c:v>39</c:v>
                      </c:pt>
                      <c:pt idx="40">
                        <c:v>40</c:v>
                      </c:pt>
                      <c:pt idx="41">
                        <c:v>41</c:v>
                      </c:pt>
                      <c:pt idx="42">
                        <c:v>42</c:v>
                      </c:pt>
                      <c:pt idx="43">
                        <c:v>43</c:v>
                      </c:pt>
                      <c:pt idx="44">
                        <c:v>44</c:v>
                      </c:pt>
                      <c:pt idx="45">
                        <c:v>45</c:v>
                      </c:pt>
                      <c:pt idx="46">
                        <c:v>46</c:v>
                      </c:pt>
                      <c:pt idx="47">
                        <c:v>47</c:v>
                      </c:pt>
                      <c:pt idx="48">
                        <c:v>48</c:v>
                      </c:pt>
                      <c:pt idx="49">
                        <c:v>49</c:v>
                      </c:pt>
                      <c:pt idx="50">
                        <c:v>50</c:v>
                      </c:pt>
                      <c:pt idx="51">
                        <c:v>51</c:v>
                      </c:pt>
                      <c:pt idx="52">
                        <c:v>52</c:v>
                      </c:pt>
                      <c:pt idx="53">
                        <c:v>53</c:v>
                      </c:pt>
                      <c:pt idx="54">
                        <c:v>54</c:v>
                      </c:pt>
                      <c:pt idx="55">
                        <c:v>55</c:v>
                      </c:pt>
                      <c:pt idx="56">
                        <c:v>56</c:v>
                      </c:pt>
                      <c:pt idx="57">
                        <c:v>57</c:v>
                      </c:pt>
                      <c:pt idx="58">
                        <c:v>58</c:v>
                      </c:pt>
                      <c:pt idx="59">
                        <c:v>59</c:v>
                      </c:pt>
                      <c:pt idx="60">
                        <c:v>60</c:v>
                      </c:pt>
                      <c:pt idx="61">
                        <c:v>61</c:v>
                      </c:pt>
                      <c:pt idx="62">
                        <c:v>62</c:v>
                      </c:pt>
                      <c:pt idx="63">
                        <c:v>63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(Rx)'!$D$3:$D$66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-2.7449398433946754</c:v>
                      </c:pt>
                      <c:pt idx="1">
                        <c:v>-2.7590614433946712</c:v>
                      </c:pt>
                      <c:pt idx="2">
                        <c:v>-2.8001147433946727</c:v>
                      </c:pt>
                      <c:pt idx="3">
                        <c:v>-2.8521551433946755</c:v>
                      </c:pt>
                      <c:pt idx="4">
                        <c:v>-3.3366683433946704</c:v>
                      </c:pt>
                      <c:pt idx="5">
                        <c:v>-3.3793787433946747</c:v>
                      </c:pt>
                      <c:pt idx="6">
                        <c:v>-3.4295414433946689</c:v>
                      </c:pt>
                      <c:pt idx="7">
                        <c:v>-3.4704288433946715</c:v>
                      </c:pt>
                      <c:pt idx="8">
                        <c:v>-4.7402105433946744</c:v>
                      </c:pt>
                      <c:pt idx="9">
                        <c:v>-4.7820478433946718</c:v>
                      </c:pt>
                      <c:pt idx="10">
                        <c:v>-4.8315684433946586</c:v>
                      </c:pt>
                      <c:pt idx="11">
                        <c:v>-4.8941754433946585</c:v>
                      </c:pt>
                      <c:pt idx="12">
                        <c:v>-5.5410536433946689</c:v>
                      </c:pt>
                      <c:pt idx="13">
                        <c:v>-5.5791202433946694</c:v>
                      </c:pt>
                      <c:pt idx="14">
                        <c:v>-5.6333618433946739</c:v>
                      </c:pt>
                      <c:pt idx="15">
                        <c:v>-5.6883118433946649</c:v>
                      </c:pt>
                      <c:pt idx="16">
                        <c:v>-6.9607922433946712</c:v>
                      </c:pt>
                      <c:pt idx="17">
                        <c:v>-7.0201793433946591</c:v>
                      </c:pt>
                      <c:pt idx="18">
                        <c:v>-7.0778531433946696</c:v>
                      </c:pt>
                      <c:pt idx="19">
                        <c:v>-7.1333628433946714</c:v>
                      </c:pt>
                      <c:pt idx="20">
                        <c:v>-7.8959404433946716</c:v>
                      </c:pt>
                      <c:pt idx="21">
                        <c:v>-7.962685443394669</c:v>
                      </c:pt>
                      <c:pt idx="22">
                        <c:v>-8.0052899433946649</c:v>
                      </c:pt>
                      <c:pt idx="23">
                        <c:v>-8.0631856433946751</c:v>
                      </c:pt>
                      <c:pt idx="24">
                        <c:v>-9.0333382433946738</c:v>
                      </c:pt>
                      <c:pt idx="25">
                        <c:v>-9.0875448433946744</c:v>
                      </c:pt>
                      <c:pt idx="26">
                        <c:v>-9.1418999433946695</c:v>
                      </c:pt>
                      <c:pt idx="27">
                        <c:v>-9.1915202433946703</c:v>
                      </c:pt>
                      <c:pt idx="28">
                        <c:v>-10.027974043394671</c:v>
                      </c:pt>
                      <c:pt idx="29">
                        <c:v>-10.09652864339467</c:v>
                      </c:pt>
                      <c:pt idx="30">
                        <c:v>-10.140452343394671</c:v>
                      </c:pt>
                      <c:pt idx="31">
                        <c:v>-10.215976443394673</c:v>
                      </c:pt>
                      <c:pt idx="32">
                        <c:v>-11.23731934339466</c:v>
                      </c:pt>
                      <c:pt idx="33">
                        <c:v>-11.304593943394671</c:v>
                      </c:pt>
                      <c:pt idx="34">
                        <c:v>-11.36278844339467</c:v>
                      </c:pt>
                      <c:pt idx="35">
                        <c:v>-11.431257043394673</c:v>
                      </c:pt>
                      <c:pt idx="36">
                        <c:v>-12.315969143394671</c:v>
                      </c:pt>
                      <c:pt idx="37">
                        <c:v>-12.370285243394672</c:v>
                      </c:pt>
                      <c:pt idx="38">
                        <c:v>-12.438259343394673</c:v>
                      </c:pt>
                      <c:pt idx="39">
                        <c:v>-12.500352443394672</c:v>
                      </c:pt>
                      <c:pt idx="40">
                        <c:v>-13.376502443394671</c:v>
                      </c:pt>
                      <c:pt idx="41">
                        <c:v>-13.457226543394672</c:v>
                      </c:pt>
                      <c:pt idx="42">
                        <c:v>-13.496336143394672</c:v>
                      </c:pt>
                      <c:pt idx="43">
                        <c:v>-13.580577343394673</c:v>
                      </c:pt>
                      <c:pt idx="44">
                        <c:v>-14.521331043394671</c:v>
                      </c:pt>
                      <c:pt idx="45">
                        <c:v>-14.577541243394673</c:v>
                      </c:pt>
                      <c:pt idx="46">
                        <c:v>-14.673588743394671</c:v>
                      </c:pt>
                      <c:pt idx="47">
                        <c:v>-14.730344043394673</c:v>
                      </c:pt>
                      <c:pt idx="48">
                        <c:v>-15.737029143394672</c:v>
                      </c:pt>
                      <c:pt idx="49">
                        <c:v>-15.807259943394673</c:v>
                      </c:pt>
                      <c:pt idx="50">
                        <c:v>-15.907168643394673</c:v>
                      </c:pt>
                      <c:pt idx="51">
                        <c:v>-15.983328143394672</c:v>
                      </c:pt>
                      <c:pt idx="52">
                        <c:v>-16.95605444339467</c:v>
                      </c:pt>
                      <c:pt idx="53">
                        <c:v>-17.065555343394671</c:v>
                      </c:pt>
                      <c:pt idx="54">
                        <c:v>-17.150089843394671</c:v>
                      </c:pt>
                      <c:pt idx="55">
                        <c:v>-17.207257943394673</c:v>
                      </c:pt>
                      <c:pt idx="56">
                        <c:v>-17.984286343394672</c:v>
                      </c:pt>
                      <c:pt idx="57">
                        <c:v>-18.10436974339467</c:v>
                      </c:pt>
                      <c:pt idx="58">
                        <c:v>-18.161746543394671</c:v>
                      </c:pt>
                      <c:pt idx="59">
                        <c:v>-18.285027543394673</c:v>
                      </c:pt>
                      <c:pt idx="60">
                        <c:v>-19.417349143394674</c:v>
                      </c:pt>
                      <c:pt idx="61">
                        <c:v>-19.425057243394672</c:v>
                      </c:pt>
                      <c:pt idx="62">
                        <c:v>-19.571000343394672</c:v>
                      </c:pt>
                      <c:pt idx="63">
                        <c:v>-19.646484943394672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809B-45B4-B2B3-7C43900C428A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Accuracy_B1V0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Accuracy_B1V0 (Rx)'!$F$3:$F$66</c:f>
              <c:numCache>
                <c:formatCode>0.00_ </c:formatCode>
                <c:ptCount val="64"/>
                <c:pt idx="0">
                  <c:v>40.906447567533966</c:v>
                </c:pt>
                <c:pt idx="1">
                  <c:v>40.656447567533966</c:v>
                </c:pt>
                <c:pt idx="2">
                  <c:v>40.406447567533966</c:v>
                </c:pt>
                <c:pt idx="3">
                  <c:v>40.156447567533966</c:v>
                </c:pt>
                <c:pt idx="4">
                  <c:v>39.906447567533966</c:v>
                </c:pt>
                <c:pt idx="5">
                  <c:v>39.656447567533966</c:v>
                </c:pt>
                <c:pt idx="6">
                  <c:v>39.406447567533966</c:v>
                </c:pt>
                <c:pt idx="7">
                  <c:v>39.156447567533966</c:v>
                </c:pt>
                <c:pt idx="8">
                  <c:v>38.906447567533966</c:v>
                </c:pt>
                <c:pt idx="9">
                  <c:v>38.656447567533966</c:v>
                </c:pt>
                <c:pt idx="10">
                  <c:v>38.406447567533966</c:v>
                </c:pt>
                <c:pt idx="11">
                  <c:v>38.156447567533966</c:v>
                </c:pt>
                <c:pt idx="12">
                  <c:v>37.906447567533966</c:v>
                </c:pt>
                <c:pt idx="13">
                  <c:v>37.656447567533966</c:v>
                </c:pt>
                <c:pt idx="14">
                  <c:v>37.406447567533966</c:v>
                </c:pt>
                <c:pt idx="15">
                  <c:v>37.156447567533966</c:v>
                </c:pt>
                <c:pt idx="16">
                  <c:v>36.906447567533966</c:v>
                </c:pt>
                <c:pt idx="17">
                  <c:v>36.656447567533966</c:v>
                </c:pt>
                <c:pt idx="18">
                  <c:v>36.406447567533966</c:v>
                </c:pt>
                <c:pt idx="19">
                  <c:v>36.156447567533966</c:v>
                </c:pt>
                <c:pt idx="20">
                  <c:v>35.906447567533966</c:v>
                </c:pt>
                <c:pt idx="21">
                  <c:v>35.656447567533966</c:v>
                </c:pt>
                <c:pt idx="22">
                  <c:v>35.406447567533966</c:v>
                </c:pt>
                <c:pt idx="23">
                  <c:v>35.156447567533966</c:v>
                </c:pt>
                <c:pt idx="24">
                  <c:v>34.906447567533966</c:v>
                </c:pt>
                <c:pt idx="25">
                  <c:v>34.656447567533966</c:v>
                </c:pt>
                <c:pt idx="26">
                  <c:v>34.406447567533966</c:v>
                </c:pt>
                <c:pt idx="27">
                  <c:v>34.156447567533966</c:v>
                </c:pt>
                <c:pt idx="28">
                  <c:v>33.906447567533966</c:v>
                </c:pt>
                <c:pt idx="29">
                  <c:v>33.656447567533966</c:v>
                </c:pt>
                <c:pt idx="30">
                  <c:v>33.406447567533966</c:v>
                </c:pt>
                <c:pt idx="31">
                  <c:v>33.156447567533966</c:v>
                </c:pt>
                <c:pt idx="32">
                  <c:v>32.906447567533966</c:v>
                </c:pt>
                <c:pt idx="33">
                  <c:v>32.656447567533966</c:v>
                </c:pt>
                <c:pt idx="34">
                  <c:v>32.406447567533966</c:v>
                </c:pt>
                <c:pt idx="35">
                  <c:v>32.156447567533966</c:v>
                </c:pt>
                <c:pt idx="36">
                  <c:v>31.906447567533966</c:v>
                </c:pt>
                <c:pt idx="37">
                  <c:v>31.656447567533966</c:v>
                </c:pt>
                <c:pt idx="38">
                  <c:v>31.406447567533966</c:v>
                </c:pt>
                <c:pt idx="39">
                  <c:v>31.156447567533966</c:v>
                </c:pt>
                <c:pt idx="40">
                  <c:v>30.906447567533966</c:v>
                </c:pt>
                <c:pt idx="41">
                  <c:v>30.656447567533966</c:v>
                </c:pt>
                <c:pt idx="42">
                  <c:v>30.406447567533966</c:v>
                </c:pt>
                <c:pt idx="43">
                  <c:v>30.156447567533966</c:v>
                </c:pt>
                <c:pt idx="44">
                  <c:v>29.906447567533966</c:v>
                </c:pt>
                <c:pt idx="45">
                  <c:v>29.656447567533966</c:v>
                </c:pt>
                <c:pt idx="46">
                  <c:v>29.406447567533966</c:v>
                </c:pt>
                <c:pt idx="47">
                  <c:v>29.156447567533966</c:v>
                </c:pt>
                <c:pt idx="48">
                  <c:v>28.906447567533966</c:v>
                </c:pt>
                <c:pt idx="49">
                  <c:v>28.656447567533966</c:v>
                </c:pt>
                <c:pt idx="50">
                  <c:v>28.406447567533966</c:v>
                </c:pt>
                <c:pt idx="51">
                  <c:v>28.156447567533966</c:v>
                </c:pt>
                <c:pt idx="52">
                  <c:v>27.906447567533966</c:v>
                </c:pt>
                <c:pt idx="53">
                  <c:v>27.656447567533966</c:v>
                </c:pt>
                <c:pt idx="54">
                  <c:v>27.406447567533966</c:v>
                </c:pt>
                <c:pt idx="55">
                  <c:v>27.156447567533966</c:v>
                </c:pt>
                <c:pt idx="56">
                  <c:v>26.906447567533966</c:v>
                </c:pt>
                <c:pt idx="57">
                  <c:v>26.656447567533966</c:v>
                </c:pt>
                <c:pt idx="58">
                  <c:v>26.406447567533966</c:v>
                </c:pt>
                <c:pt idx="59">
                  <c:v>26.156447567533966</c:v>
                </c:pt>
                <c:pt idx="60">
                  <c:v>25.906447567533966</c:v>
                </c:pt>
                <c:pt idx="61">
                  <c:v>25.656447567533966</c:v>
                </c:pt>
                <c:pt idx="62">
                  <c:v>25.406447567533966</c:v>
                </c:pt>
                <c:pt idx="63">
                  <c:v>25.156447567533966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09B-45B4-B2B3-7C43900C42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Accuracy_B1V0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prstDash val="sysDot"/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(Rx)'!$A$3:$A$34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(Rx)'!$AA$3:$AA$66</c15:sqref>
                        </c15:formulaRef>
                      </c:ext>
                    </c:extLst>
                    <c:numCache>
                      <c:formatCode>0.00_ </c:formatCode>
                      <c:ptCount val="64"/>
                      <c:pt idx="0">
                        <c:v>8.960738632000001E-2</c:v>
                      </c:pt>
                      <c:pt idx="1">
                        <c:v>8.9605296200000004E-2</c:v>
                      </c:pt>
                      <c:pt idx="2">
                        <c:v>8.9589724927E-2</c:v>
                      </c:pt>
                      <c:pt idx="3">
                        <c:v>8.9633718550999997E-2</c:v>
                      </c:pt>
                      <c:pt idx="4">
                        <c:v>8.9519325483000012E-2</c:v>
                      </c:pt>
                      <c:pt idx="5">
                        <c:v>8.9547790011000009E-2</c:v>
                      </c:pt>
                      <c:pt idx="6">
                        <c:v>8.9454565393000007E-2</c:v>
                      </c:pt>
                      <c:pt idx="7">
                        <c:v>8.952601843800001E-2</c:v>
                      </c:pt>
                      <c:pt idx="8">
                        <c:v>8.9363016808000018E-2</c:v>
                      </c:pt>
                      <c:pt idx="9">
                        <c:v>8.9349945075999998E-2</c:v>
                      </c:pt>
                      <c:pt idx="10">
                        <c:v>8.9320316629999993E-2</c:v>
                      </c:pt>
                      <c:pt idx="11">
                        <c:v>8.9355496643000021E-2</c:v>
                      </c:pt>
                      <c:pt idx="12">
                        <c:v>8.9288315654E-2</c:v>
                      </c:pt>
                      <c:pt idx="13">
                        <c:v>8.9247985811000005E-2</c:v>
                      </c:pt>
                      <c:pt idx="14">
                        <c:v>8.9318627100999998E-2</c:v>
                      </c:pt>
                      <c:pt idx="15">
                        <c:v>8.9270610215000004E-2</c:v>
                      </c:pt>
                      <c:pt idx="16">
                        <c:v>8.9192822273000003E-2</c:v>
                      </c:pt>
                      <c:pt idx="17">
                        <c:v>8.915849312900001E-2</c:v>
                      </c:pt>
                      <c:pt idx="18">
                        <c:v>8.9129191279000014E-2</c:v>
                      </c:pt>
                      <c:pt idx="19">
                        <c:v>8.9121086152000012E-2</c:v>
                      </c:pt>
                      <c:pt idx="20">
                        <c:v>8.9135421093000017E-2</c:v>
                      </c:pt>
                      <c:pt idx="21">
                        <c:v>8.9083321290000003E-2</c:v>
                      </c:pt>
                      <c:pt idx="22">
                        <c:v>8.9074720911999999E-2</c:v>
                      </c:pt>
                      <c:pt idx="23">
                        <c:v>8.9056086960000003E-2</c:v>
                      </c:pt>
                      <c:pt idx="24">
                        <c:v>8.9075036738999996E-2</c:v>
                      </c:pt>
                      <c:pt idx="25">
                        <c:v>8.9006607062000004E-2</c:v>
                      </c:pt>
                      <c:pt idx="26">
                        <c:v>8.9008106497E-2</c:v>
                      </c:pt>
                      <c:pt idx="27">
                        <c:v>8.9021335196000001E-2</c:v>
                      </c:pt>
                      <c:pt idx="28">
                        <c:v>8.9008106497E-2</c:v>
                      </c:pt>
                      <c:pt idx="29">
                        <c:v>8.8996505848999999E-2</c:v>
                      </c:pt>
                      <c:pt idx="30">
                        <c:v>8.8941308964999993E-2</c:v>
                      </c:pt>
                      <c:pt idx="31">
                        <c:v>8.8888576565000016E-2</c:v>
                      </c:pt>
                      <c:pt idx="32">
                        <c:v>8.8879178249000018E-2</c:v>
                      </c:pt>
                      <c:pt idx="33">
                        <c:v>8.8892804817000015E-2</c:v>
                      </c:pt>
                      <c:pt idx="34">
                        <c:v>8.8950602194E-2</c:v>
                      </c:pt>
                      <c:pt idx="35">
                        <c:v>8.8951599746000004E-2</c:v>
                      </c:pt>
                      <c:pt idx="36">
                        <c:v>8.8913104044000005E-2</c:v>
                      </c:pt>
                      <c:pt idx="37">
                        <c:v>8.888847287300003E-2</c:v>
                      </c:pt>
                      <c:pt idx="38">
                        <c:v>8.8849174497000014E-2</c:v>
                      </c:pt>
                      <c:pt idx="39">
                        <c:v>8.8834071622999999E-2</c:v>
                      </c:pt>
                      <c:pt idx="40">
                        <c:v>8.8802094186000005E-2</c:v>
                      </c:pt>
                      <c:pt idx="41">
                        <c:v>8.8833090258000014E-2</c:v>
                      </c:pt>
                      <c:pt idx="42">
                        <c:v>8.8827091045000001E-2</c:v>
                      </c:pt>
                      <c:pt idx="43">
                        <c:v>8.8823687201000007E-2</c:v>
                      </c:pt>
                      <c:pt idx="44">
                        <c:v>8.8802979526000012E-2</c:v>
                      </c:pt>
                      <c:pt idx="45">
                        <c:v>8.8859516422999996E-2</c:v>
                      </c:pt>
                      <c:pt idx="46">
                        <c:v>8.8856816948999995E-2</c:v>
                      </c:pt>
                      <c:pt idx="47">
                        <c:v>8.8862112283000005E-2</c:v>
                      </c:pt>
                      <c:pt idx="48">
                        <c:v>8.8821522604000003E-2</c:v>
                      </c:pt>
                      <c:pt idx="49">
                        <c:v>8.8777489873000007E-2</c:v>
                      </c:pt>
                      <c:pt idx="50">
                        <c:v>8.884051926799999E-2</c:v>
                      </c:pt>
                      <c:pt idx="51">
                        <c:v>8.8820617633000004E-2</c:v>
                      </c:pt>
                      <c:pt idx="52">
                        <c:v>8.8832420354999997E-2</c:v>
                      </c:pt>
                      <c:pt idx="53">
                        <c:v>8.8748790187000021E-2</c:v>
                      </c:pt>
                      <c:pt idx="54">
                        <c:v>8.877098828600001E-2</c:v>
                      </c:pt>
                      <c:pt idx="55">
                        <c:v>8.8745985703999997E-2</c:v>
                      </c:pt>
                      <c:pt idx="56">
                        <c:v>8.8759006047000003E-2</c:v>
                      </c:pt>
                      <c:pt idx="57">
                        <c:v>8.8751102425000006E-2</c:v>
                      </c:pt>
                      <c:pt idx="58">
                        <c:v>8.8796531467999998E-2</c:v>
                      </c:pt>
                      <c:pt idx="59">
                        <c:v>8.8800327366999998E-2</c:v>
                      </c:pt>
                      <c:pt idx="60">
                        <c:v>8.8823159319000006E-2</c:v>
                      </c:pt>
                      <c:pt idx="61">
                        <c:v>8.8807526619000002E-2</c:v>
                      </c:pt>
                      <c:pt idx="62">
                        <c:v>8.8794556711000006E-2</c:v>
                      </c:pt>
                      <c:pt idx="63">
                        <c:v>8.8746194289000005E-2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809B-45B4-B2B3-7C43900C428A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(0~63)</a:t>
                </a:r>
                <a:r>
                  <a:rPr lang="en-US" baseline="0"/>
                  <a:t> at Fixed 0 FE Gain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10"/>
        <c:noMultiLvlLbl val="0"/>
      </c:catAx>
      <c:valAx>
        <c:axId val="1855372944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Gain (dB)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5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/>
              <a:t>(TX-29 GHz-B0-H0) Channel</a:t>
            </a:r>
            <a:r>
              <a:rPr lang="en-US" altLang="ko-KR" baseline="0"/>
              <a:t> Attn Index Sweep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en-US" altLang="ko-KR"/>
        </a:p>
      </c:txPr>
    </c:title>
    <c:autoTitleDeleted val="0"/>
    <c:plotArea>
      <c:layout/>
      <c:lineChart>
        <c:grouping val="standard"/>
        <c:varyColors val="0"/>
        <c:ser>
          <c:idx val="2"/>
          <c:order val="1"/>
          <c:tx>
            <c:strRef>
              <c:f>'Gain Accuracy_B1V0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0"/>
                  <c:y val="0.14720657990046032"/>
                </c:manualLayout>
              </c:layout>
              <c:tx>
                <c:rich>
                  <a:bodyPr/>
                  <a:lstStyle/>
                  <a:p>
                    <a:fld id="{683AEBD3-14C3-4231-983F-3E0A1DC98560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dB</a:t>
                    </a:r>
                  </a:p>
                  <a:p>
                    <a:r>
                      <a:rPr lang="en-US" altLang="ko-KR"/>
                      <a:t>at Index 0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C6F2-49BB-8818-6475E0CCFC19}"/>
                </c:ext>
              </c:extLst>
            </c:dLbl>
            <c:dLbl>
              <c:idx val="32"/>
              <c:layout>
                <c:manualLayout>
                  <c:x val="-0.17565983551231446"/>
                  <c:y val="-4.6732247587446861E-3"/>
                </c:manualLayout>
              </c:layout>
              <c:tx>
                <c:rich>
                  <a:bodyPr/>
                  <a:lstStyle/>
                  <a:p>
                    <a:fld id="{3DC3B735-6FF8-4EA4-9ED1-FEAE8D159587}" type="VALUE">
                      <a:rPr lang="en-US" altLang="ko-KR"/>
                      <a:pPr/>
                      <a:t>[값]</a:t>
                    </a:fld>
                    <a:r>
                      <a:rPr lang="en-US" altLang="ko-KR"/>
                      <a:t> dB</a:t>
                    </a:r>
                  </a:p>
                  <a:p>
                    <a:r>
                      <a:rPr lang="en-US" altLang="ko-KR"/>
                      <a:t>at Index 32</a:t>
                    </a:r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C6F2-49BB-8818-6475E0CCFC1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'Gain Accuracy_B1V0 (Rx)'!$A$68:$A$100</c:f>
              <c:numCache>
                <c:formatCode>0_ </c:formatCode>
                <c:ptCount val="33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</c:numCache>
            </c:numRef>
          </c:cat>
          <c:val>
            <c:numRef>
              <c:f>'Gain Accuracy_B1V0 (Rx)'!$E$68:$E$100</c:f>
              <c:numCache>
                <c:formatCode>0.00_ </c:formatCode>
                <c:ptCount val="33"/>
                <c:pt idx="0">
                  <c:v>34.639616867533967</c:v>
                </c:pt>
                <c:pt idx="1">
                  <c:v>34.393741067533973</c:v>
                </c:pt>
                <c:pt idx="2">
                  <c:v>34.168022367533972</c:v>
                </c:pt>
                <c:pt idx="3">
                  <c:v>33.933786867533968</c:v>
                </c:pt>
                <c:pt idx="4">
                  <c:v>33.748779067533967</c:v>
                </c:pt>
                <c:pt idx="5">
                  <c:v>33.490342267533983</c:v>
                </c:pt>
                <c:pt idx="6">
                  <c:v>33.277573467533969</c:v>
                </c:pt>
                <c:pt idx="7">
                  <c:v>33.038914667533973</c:v>
                </c:pt>
                <c:pt idx="8">
                  <c:v>32.637740567533967</c:v>
                </c:pt>
                <c:pt idx="9">
                  <c:v>32.378450967533972</c:v>
                </c:pt>
                <c:pt idx="10">
                  <c:v>32.152046667533973</c:v>
                </c:pt>
                <c:pt idx="11">
                  <c:v>31.897262967533969</c:v>
                </c:pt>
                <c:pt idx="12">
                  <c:v>31.757334167533969</c:v>
                </c:pt>
                <c:pt idx="13">
                  <c:v>31.50409716753397</c:v>
                </c:pt>
                <c:pt idx="14">
                  <c:v>31.27005286753397</c:v>
                </c:pt>
                <c:pt idx="15">
                  <c:v>31.019554367533971</c:v>
                </c:pt>
                <c:pt idx="16">
                  <c:v>30.82375266753397</c:v>
                </c:pt>
                <c:pt idx="17">
                  <c:v>30.55695356753397</c:v>
                </c:pt>
                <c:pt idx="18">
                  <c:v>30.30947286753397</c:v>
                </c:pt>
                <c:pt idx="19">
                  <c:v>30.026336967533972</c:v>
                </c:pt>
                <c:pt idx="20">
                  <c:v>29.897911267533971</c:v>
                </c:pt>
                <c:pt idx="21">
                  <c:v>29.617976467533971</c:v>
                </c:pt>
                <c:pt idx="22">
                  <c:v>29.34631706753397</c:v>
                </c:pt>
                <c:pt idx="23">
                  <c:v>29.09482036753397</c:v>
                </c:pt>
                <c:pt idx="24">
                  <c:v>28.703841767533969</c:v>
                </c:pt>
                <c:pt idx="25">
                  <c:v>28.40046916753397</c:v>
                </c:pt>
                <c:pt idx="26">
                  <c:v>28.181025967533969</c:v>
                </c:pt>
                <c:pt idx="27">
                  <c:v>27.922430867533969</c:v>
                </c:pt>
                <c:pt idx="28">
                  <c:v>27.77343986753397</c:v>
                </c:pt>
                <c:pt idx="29">
                  <c:v>27.503152667533971</c:v>
                </c:pt>
                <c:pt idx="30">
                  <c:v>27.21157196753397</c:v>
                </c:pt>
                <c:pt idx="31">
                  <c:v>26.970663867533968</c:v>
                </c:pt>
                <c:pt idx="32">
                  <c:v>26.601423767533969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6F2-49BB-8818-6475E0CC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  <c:extLst>
          <c:ext xmlns:c15="http://schemas.microsoft.com/office/drawing/2012/chart" uri="{02D57815-91ED-43cb-92C2-25804820EDAC}">
            <c15:filteredLineSeries>
              <c15:ser>
                <c:idx val="1"/>
                <c:order val="0"/>
                <c:tx>
                  <c:strRef>
                    <c:extLst>
                      <c:ext uri="{02D57815-91ED-43cb-92C2-25804820EDAC}">
                        <c15:formulaRef>
                          <c15:sqref>'Gain Accuracy_B1V0 (Rx)'!$D$1</c15:sqref>
                        </c15:formulaRef>
                      </c:ext>
                    </c:extLst>
                    <c:strCache>
                      <c:ptCount val="1"/>
                      <c:pt idx="0">
                        <c:v>Pout (dBm)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(Rx)'!$A$68:$A$100</c15:sqref>
                        </c15:formulaRef>
                      </c:ext>
                    </c:extLst>
                    <c:numCache>
                      <c:formatCode>0_ </c:formatCode>
                      <c:ptCount val="33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  <c:pt idx="32">
                        <c:v>32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(Rx)'!$D$68:$D$100</c15:sqref>
                        </c15:formulaRef>
                      </c:ext>
                    </c:extLst>
                    <c:numCache>
                      <c:formatCode>0.00_ </c:formatCode>
                      <c:ptCount val="33"/>
                      <c:pt idx="0">
                        <c:v>-9.0117705433946753</c:v>
                      </c:pt>
                      <c:pt idx="1">
                        <c:v>-9.2576463433946685</c:v>
                      </c:pt>
                      <c:pt idx="2">
                        <c:v>-9.4833650433946701</c:v>
                      </c:pt>
                      <c:pt idx="3">
                        <c:v>-9.7176005433946742</c:v>
                      </c:pt>
                      <c:pt idx="4">
                        <c:v>-9.9026083433946752</c:v>
                      </c:pt>
                      <c:pt idx="5">
                        <c:v>-10.161045143394659</c:v>
                      </c:pt>
                      <c:pt idx="6">
                        <c:v>-10.373813943394673</c:v>
                      </c:pt>
                      <c:pt idx="7">
                        <c:v>-10.612472743394669</c:v>
                      </c:pt>
                      <c:pt idx="8">
                        <c:v>-11.013646843394675</c:v>
                      </c:pt>
                      <c:pt idx="9">
                        <c:v>-11.27293644339467</c:v>
                      </c:pt>
                      <c:pt idx="10">
                        <c:v>-11.499340743394669</c:v>
                      </c:pt>
                      <c:pt idx="11">
                        <c:v>-11.754124443394673</c:v>
                      </c:pt>
                      <c:pt idx="12">
                        <c:v>-11.894053243394673</c:v>
                      </c:pt>
                      <c:pt idx="13">
                        <c:v>-12.147290243394671</c:v>
                      </c:pt>
                      <c:pt idx="14">
                        <c:v>-12.381334543394672</c:v>
                      </c:pt>
                      <c:pt idx="15">
                        <c:v>-12.631833043394671</c:v>
                      </c:pt>
                      <c:pt idx="16">
                        <c:v>-12.827634743394672</c:v>
                      </c:pt>
                      <c:pt idx="17">
                        <c:v>-13.094433843394672</c:v>
                      </c:pt>
                      <c:pt idx="18">
                        <c:v>-13.341914543394672</c:v>
                      </c:pt>
                      <c:pt idx="19">
                        <c:v>-13.62505044339467</c:v>
                      </c:pt>
                      <c:pt idx="20">
                        <c:v>-13.753476143394671</c:v>
                      </c:pt>
                      <c:pt idx="21">
                        <c:v>-14.033410943394671</c:v>
                      </c:pt>
                      <c:pt idx="22">
                        <c:v>-14.305070343394672</c:v>
                      </c:pt>
                      <c:pt idx="23">
                        <c:v>-14.556567043394672</c:v>
                      </c:pt>
                      <c:pt idx="24">
                        <c:v>-14.947545643394673</c:v>
                      </c:pt>
                      <c:pt idx="25">
                        <c:v>-15.250918243394672</c:v>
                      </c:pt>
                      <c:pt idx="26">
                        <c:v>-15.470361443394673</c:v>
                      </c:pt>
                      <c:pt idx="27">
                        <c:v>-15.728956543394673</c:v>
                      </c:pt>
                      <c:pt idx="28">
                        <c:v>-15.877947543394672</c:v>
                      </c:pt>
                      <c:pt idx="29">
                        <c:v>-16.148234743394671</c:v>
                      </c:pt>
                      <c:pt idx="30">
                        <c:v>-16.439815443394671</c:v>
                      </c:pt>
                      <c:pt idx="31">
                        <c:v>-16.680723543394674</c:v>
                      </c:pt>
                      <c:pt idx="32">
                        <c:v>-17.049963643394673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4-C6F2-49BB-8818-6475E0CCFC19}"/>
                  </c:ext>
                </c:extLst>
              </c15:ser>
            </c15:filteredLineSeries>
          </c:ext>
        </c:extLst>
      </c:lineChart>
      <c:lineChart>
        <c:grouping val="standard"/>
        <c:varyColors val="0"/>
        <c:ser>
          <c:idx val="0"/>
          <c:order val="3"/>
          <c:tx>
            <c:strRef>
              <c:f>'Gain Accuracy_B1V0 (Rx)'!$F$1:$F$2</c:f>
              <c:strCache>
                <c:ptCount val="2"/>
                <c:pt idx="0">
                  <c:v>Ideal Gain (dB)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dash"/>
              <a:round/>
            </a:ln>
            <a:effectLst/>
          </c:spPr>
          <c:marker>
            <c:symbol val="none"/>
          </c:marker>
          <c:val>
            <c:numRef>
              <c:f>'Gain Accuracy_B1V0 (Rx)'!$F$68:$F$100</c:f>
              <c:numCache>
                <c:formatCode>0.00_ </c:formatCode>
                <c:ptCount val="33"/>
                <c:pt idx="0">
                  <c:v>34.639616867533967</c:v>
                </c:pt>
                <c:pt idx="1">
                  <c:v>34.389616867533967</c:v>
                </c:pt>
                <c:pt idx="2">
                  <c:v>34.139616867533967</c:v>
                </c:pt>
                <c:pt idx="3">
                  <c:v>33.889616867533967</c:v>
                </c:pt>
                <c:pt idx="4">
                  <c:v>33.639616867533967</c:v>
                </c:pt>
                <c:pt idx="5">
                  <c:v>33.389616867533967</c:v>
                </c:pt>
                <c:pt idx="6">
                  <c:v>33.139616867533967</c:v>
                </c:pt>
                <c:pt idx="7">
                  <c:v>32.889616867533967</c:v>
                </c:pt>
                <c:pt idx="8">
                  <c:v>32.639616867533967</c:v>
                </c:pt>
                <c:pt idx="9">
                  <c:v>32.389616867533967</c:v>
                </c:pt>
                <c:pt idx="10">
                  <c:v>32.139616867533967</c:v>
                </c:pt>
                <c:pt idx="11">
                  <c:v>31.889616867533967</c:v>
                </c:pt>
                <c:pt idx="12">
                  <c:v>31.639616867533967</c:v>
                </c:pt>
                <c:pt idx="13">
                  <c:v>31.389616867533967</c:v>
                </c:pt>
                <c:pt idx="14">
                  <c:v>31.139616867533967</c:v>
                </c:pt>
                <c:pt idx="15">
                  <c:v>30.889616867533967</c:v>
                </c:pt>
                <c:pt idx="16">
                  <c:v>30.639616867533967</c:v>
                </c:pt>
                <c:pt idx="17">
                  <c:v>30.389616867533967</c:v>
                </c:pt>
                <c:pt idx="18">
                  <c:v>30.139616867533967</c:v>
                </c:pt>
                <c:pt idx="19">
                  <c:v>29.889616867533967</c:v>
                </c:pt>
                <c:pt idx="20">
                  <c:v>29.639616867533967</c:v>
                </c:pt>
                <c:pt idx="21">
                  <c:v>29.389616867533967</c:v>
                </c:pt>
                <c:pt idx="22">
                  <c:v>29.139616867533967</c:v>
                </c:pt>
                <c:pt idx="23">
                  <c:v>28.889616867533967</c:v>
                </c:pt>
                <c:pt idx="24">
                  <c:v>28.639616867533967</c:v>
                </c:pt>
                <c:pt idx="25">
                  <c:v>28.389616867533967</c:v>
                </c:pt>
                <c:pt idx="26">
                  <c:v>28.139616867533967</c:v>
                </c:pt>
                <c:pt idx="27">
                  <c:v>27.889616867533967</c:v>
                </c:pt>
                <c:pt idx="28">
                  <c:v>27.639616867533967</c:v>
                </c:pt>
                <c:pt idx="29">
                  <c:v>27.389616867533967</c:v>
                </c:pt>
                <c:pt idx="30">
                  <c:v>27.139616867533967</c:v>
                </c:pt>
                <c:pt idx="31">
                  <c:v>26.889616867533967</c:v>
                </c:pt>
                <c:pt idx="32">
                  <c:v>26.639616867533967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6F2-49BB-8818-6475E0CCF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  <c:extLst>
          <c:ext xmlns:c15="http://schemas.microsoft.com/office/drawing/2012/chart" uri="{02D57815-91ED-43cb-92C2-25804820EDAC}">
            <c15:filteredLineSeries>
              <c15:ser>
                <c:idx val="3"/>
                <c:order val="2"/>
                <c:tx>
                  <c:strRef>
                    <c:extLst>
                      <c:ext uri="{02D57815-91ED-43cb-92C2-25804820EDAC}">
                        <c15:formulaRef>
                          <c15:sqref>'Gain Accuracy_B1V0 (Rx)'!$AA$1</c15:sqref>
                        </c15:formulaRef>
                      </c:ext>
                    </c:extLst>
                    <c:strCache>
                      <c:ptCount val="1"/>
                      <c:pt idx="0">
                        <c:v>Psum (W)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ormulaRef>
                          <c15:sqref>'Gain Accuracy_B1V0 (Rx)'!$A$68:$A$99</c15:sqref>
                        </c15:formulaRef>
                      </c:ext>
                    </c:extLst>
                    <c:numCache>
                      <c:formatCode>0_ </c:formatCode>
                      <c:ptCount val="32"/>
                      <c:pt idx="0">
                        <c:v>0</c:v>
                      </c:pt>
                      <c:pt idx="1">
                        <c:v>1</c:v>
                      </c:pt>
                      <c:pt idx="2">
                        <c:v>2</c:v>
                      </c:pt>
                      <c:pt idx="3">
                        <c:v>3</c:v>
                      </c:pt>
                      <c:pt idx="4">
                        <c:v>4</c:v>
                      </c:pt>
                      <c:pt idx="5">
                        <c:v>5</c:v>
                      </c:pt>
                      <c:pt idx="6">
                        <c:v>6</c:v>
                      </c:pt>
                      <c:pt idx="7">
                        <c:v>7</c:v>
                      </c:pt>
                      <c:pt idx="8">
                        <c:v>8</c:v>
                      </c:pt>
                      <c:pt idx="9">
                        <c:v>9</c:v>
                      </c:pt>
                      <c:pt idx="10">
                        <c:v>10</c:v>
                      </c:pt>
                      <c:pt idx="11">
                        <c:v>11</c:v>
                      </c:pt>
                      <c:pt idx="12">
                        <c:v>12</c:v>
                      </c:pt>
                      <c:pt idx="13">
                        <c:v>13</c:v>
                      </c:pt>
                      <c:pt idx="14">
                        <c:v>14</c:v>
                      </c:pt>
                      <c:pt idx="15">
                        <c:v>15</c:v>
                      </c:pt>
                      <c:pt idx="16">
                        <c:v>16</c:v>
                      </c:pt>
                      <c:pt idx="17">
                        <c:v>17</c:v>
                      </c:pt>
                      <c:pt idx="18">
                        <c:v>18</c:v>
                      </c:pt>
                      <c:pt idx="19">
                        <c:v>19</c:v>
                      </c:pt>
                      <c:pt idx="20">
                        <c:v>20</c:v>
                      </c:pt>
                      <c:pt idx="21">
                        <c:v>21</c:v>
                      </c:pt>
                      <c:pt idx="22">
                        <c:v>22</c:v>
                      </c:pt>
                      <c:pt idx="23">
                        <c:v>23</c:v>
                      </c:pt>
                      <c:pt idx="24">
                        <c:v>24</c:v>
                      </c:pt>
                      <c:pt idx="25">
                        <c:v>25</c:v>
                      </c:pt>
                      <c:pt idx="26">
                        <c:v>26</c:v>
                      </c:pt>
                      <c:pt idx="27">
                        <c:v>27</c:v>
                      </c:pt>
                      <c:pt idx="28">
                        <c:v>28</c:v>
                      </c:pt>
                      <c:pt idx="29">
                        <c:v>29</c:v>
                      </c:pt>
                      <c:pt idx="30">
                        <c:v>30</c:v>
                      </c:pt>
                      <c:pt idx="31">
                        <c:v>31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'Gain Accuracy_B1V0 (Rx)'!$AA$68:$AA$100</c15:sqref>
                        </c15:formulaRef>
                      </c:ext>
                    </c:extLst>
                    <c:numCache>
                      <c:formatCode>0.000_ </c:formatCode>
                      <c:ptCount val="33"/>
                      <c:pt idx="0">
                        <c:v>8.8990031960999999E-2</c:v>
                      </c:pt>
                      <c:pt idx="1">
                        <c:v>8.9096716433000017E-2</c:v>
                      </c:pt>
                      <c:pt idx="2">
                        <c:v>8.9074113929000012E-2</c:v>
                      </c:pt>
                      <c:pt idx="3">
                        <c:v>8.9110069428000011E-2</c:v>
                      </c:pt>
                      <c:pt idx="4">
                        <c:v>8.9019146093000004E-2</c:v>
                      </c:pt>
                      <c:pt idx="5">
                        <c:v>8.9033414344E-2</c:v>
                      </c:pt>
                      <c:pt idx="6">
                        <c:v>8.9019440966000007E-2</c:v>
                      </c:pt>
                      <c:pt idx="7">
                        <c:v>8.8983512872000001E-2</c:v>
                      </c:pt>
                      <c:pt idx="8">
                        <c:v>8.8968661429000007E-2</c:v>
                      </c:pt>
                      <c:pt idx="9">
                        <c:v>8.8948132082000003E-2</c:v>
                      </c:pt>
                      <c:pt idx="10">
                        <c:v>8.8886601278999999E-2</c:v>
                      </c:pt>
                      <c:pt idx="11">
                        <c:v>8.8918401098000005E-2</c:v>
                      </c:pt>
                      <c:pt idx="12">
                        <c:v>8.8873303037000001E-2</c:v>
                      </c:pt>
                      <c:pt idx="13">
                        <c:v>8.8878501875000016E-2</c:v>
                      </c:pt>
                      <c:pt idx="14">
                        <c:v>8.899365274099999E-2</c:v>
                      </c:pt>
                      <c:pt idx="15">
                        <c:v>8.9005978675000014E-2</c:v>
                      </c:pt>
                      <c:pt idx="16">
                        <c:v>8.8910032350000015E-2</c:v>
                      </c:pt>
                      <c:pt idx="17">
                        <c:v>8.8875632021000003E-2</c:v>
                      </c:pt>
                      <c:pt idx="18">
                        <c:v>8.8904829184000014E-2</c:v>
                      </c:pt>
                      <c:pt idx="19">
                        <c:v>8.8889698286999996E-2</c:v>
                      </c:pt>
                      <c:pt idx="20">
                        <c:v>8.8840902708999997E-2</c:v>
                      </c:pt>
                      <c:pt idx="21">
                        <c:v>8.8876054134000015E-2</c:v>
                      </c:pt>
                      <c:pt idx="22">
                        <c:v>8.8888222276999995E-2</c:v>
                      </c:pt>
                      <c:pt idx="23">
                        <c:v>8.8889220320000004E-2</c:v>
                      </c:pt>
                      <c:pt idx="24">
                        <c:v>8.8799415398000014E-2</c:v>
                      </c:pt>
                      <c:pt idx="25">
                        <c:v>8.8783014103000005E-2</c:v>
                      </c:pt>
                      <c:pt idx="26">
                        <c:v>8.8785010267000003E-2</c:v>
                      </c:pt>
                      <c:pt idx="27">
                        <c:v>8.8842035078000009E-2</c:v>
                      </c:pt>
                      <c:pt idx="28">
                        <c:v>8.8802310319000002E-2</c:v>
                      </c:pt>
                      <c:pt idx="29">
                        <c:v>8.8788308611000011E-2</c:v>
                      </c:pt>
                      <c:pt idx="30">
                        <c:v>8.8760306668E-2</c:v>
                      </c:pt>
                      <c:pt idx="31">
                        <c:v>8.8834130965000008E-2</c:v>
                      </c:pt>
                      <c:pt idx="32">
                        <c:v>8.8760105576000004E-2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5-C6F2-49BB-8818-6475E0CCFC19}"/>
                  </c:ext>
                </c:extLst>
              </c15:ser>
            </c15:filteredLineSeries>
          </c:ext>
        </c:extLst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Index (0~32) at</a:t>
                </a:r>
                <a:r>
                  <a:rPr lang="en-US" baseline="0"/>
                  <a:t> Fixed 28 Common Attn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en-US"/>
            </a:p>
          </c:txPr>
        </c:title>
        <c:numFmt formatCode="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"/>
        <c:tickLblSkip val="10"/>
        <c:noMultiLvlLbl val="0"/>
      </c:catAx>
      <c:valAx>
        <c:axId val="1855372944"/>
        <c:scaling>
          <c:orientation val="minMax"/>
          <c:max val="36"/>
          <c:min val="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 altLang="ko-KR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</a:rPr>
                  <a:t>Gain (dB)</a:t>
                </a:r>
                <a:endParaRPr lang="ko-KR" altLang="ko-KR" sz="1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 alt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5"/>
      </c:valAx>
      <c:valAx>
        <c:axId val="840129583"/>
        <c:scaling>
          <c:orientation val="minMax"/>
          <c:min val="0.29000000000000004"/>
        </c:scaling>
        <c:delete val="1"/>
        <c:axPos val="r"/>
        <c:numFmt formatCode="0.00_ " sourceLinked="1"/>
        <c:majorTickMark val="out"/>
        <c:minorTickMark val="none"/>
        <c:tickLblPos val="nextTo"/>
        <c:crossAx val="840119503"/>
        <c:crosses val="max"/>
        <c:crossBetween val="between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r>
              <a:rPr lang="en-US" altLang="ko-KR" sz="18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Noto Sans KR" panose="020B0500000000000000" pitchFamily="34" charset="-127"/>
                <a:ea typeface="Noto Sans KR" panose="020B0500000000000000" pitchFamily="34" charset="-127"/>
              </a:rPr>
              <a:t>TX-29 GHz-B0-H0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PDC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1.6126984126984129E-2"/>
                  <c:y val="-0.1181805555555556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A62-4E6B-BF46-4C056B9767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09-4071-8D9F-6350AAE90E70}"/>
            </c:ext>
          </c:extLst>
        </c:ser>
        <c:ser>
          <c:idx val="2"/>
          <c:order val="1"/>
          <c:tx>
            <c:strRef>
              <c:f>'Total PDC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2.4190476190476116E-2"/>
                  <c:y val="-8.113888888888889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A62-4E6B-BF46-4C056B9767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(Rx)'!$C$3:$C$35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(Rx)'!$E$3:$E$35</c:f>
              <c:numCache>
                <c:formatCode>0.00_ </c:formatCode>
                <c:ptCount val="33"/>
                <c:pt idx="0">
                  <c:v>29.147520743366758</c:v>
                </c:pt>
                <c:pt idx="1">
                  <c:v>29.601426743366769</c:v>
                </c:pt>
                <c:pt idx="2">
                  <c:v>29.817682343366769</c:v>
                </c:pt>
                <c:pt idx="3">
                  <c:v>30.007080143366771</c:v>
                </c:pt>
                <c:pt idx="4">
                  <c:v>30.065565343366771</c:v>
                </c:pt>
                <c:pt idx="5">
                  <c:v>30.113300143366772</c:v>
                </c:pt>
                <c:pt idx="6">
                  <c:v>30.063652043366769</c:v>
                </c:pt>
                <c:pt idx="7">
                  <c:v>29.94324544336677</c:v>
                </c:pt>
                <c:pt idx="8">
                  <c:v>29.726001443366769</c:v>
                </c:pt>
                <c:pt idx="9">
                  <c:v>29.349340443366771</c:v>
                </c:pt>
                <c:pt idx="10">
                  <c:v>28.702559843366771</c:v>
                </c:pt>
                <c:pt idx="11">
                  <c:v>28.239101643366769</c:v>
                </c:pt>
                <c:pt idx="12">
                  <c:v>27.67401094336677</c:v>
                </c:pt>
                <c:pt idx="13">
                  <c:v>27.01140494336677</c:v>
                </c:pt>
                <c:pt idx="14">
                  <c:v>26.23440534336677</c:v>
                </c:pt>
                <c:pt idx="15">
                  <c:v>25.34221254336677</c:v>
                </c:pt>
                <c:pt idx="16">
                  <c:v>24.361614043366771</c:v>
                </c:pt>
                <c:pt idx="17">
                  <c:v>23.306457143366771</c:v>
                </c:pt>
                <c:pt idx="18">
                  <c:v>22.194640743366769</c:v>
                </c:pt>
                <c:pt idx="19">
                  <c:v>21.05694164336677</c:v>
                </c:pt>
                <c:pt idx="20">
                  <c:v>19.91984684336677</c:v>
                </c:pt>
                <c:pt idx="21">
                  <c:v>18.796237343366769</c:v>
                </c:pt>
                <c:pt idx="22">
                  <c:v>17.69866324336677</c:v>
                </c:pt>
                <c:pt idx="23">
                  <c:v>16.629422443366771</c:v>
                </c:pt>
                <c:pt idx="24">
                  <c:v>15.601022743366769</c:v>
                </c:pt>
                <c:pt idx="25">
                  <c:v>14.616328043366771</c:v>
                </c:pt>
                <c:pt idx="26">
                  <c:v>13.68493374336677</c:v>
                </c:pt>
                <c:pt idx="27">
                  <c:v>12.805524223366771</c:v>
                </c:pt>
                <c:pt idx="28">
                  <c:v>11.95182952336677</c:v>
                </c:pt>
                <c:pt idx="29">
                  <c:v>11.123214223366769</c:v>
                </c:pt>
                <c:pt idx="30">
                  <c:v>10.32184202336677</c:v>
                </c:pt>
                <c:pt idx="31">
                  <c:v>9.5397590233667664</c:v>
                </c:pt>
                <c:pt idx="32">
                  <c:v>8.7700761233667652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709-4071-8D9F-6350AAE90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'Total PDC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10"/>
              <c:layout>
                <c:manualLayout>
                  <c:x val="4.0317460317459575E-3"/>
                  <c:y val="-8.81944444444444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A62-4E6B-BF46-4C056B9767F3}"/>
                </c:ext>
              </c:extLst>
            </c:dLbl>
            <c:dLbl>
              <c:idx val="21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1474447574225377"/>
                      <c:h val="5.79031286305899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709-4071-8D9F-6350AAE90E70}"/>
                </c:ext>
              </c:extLst>
            </c:dLbl>
            <c:dLbl>
              <c:idx val="26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0.14840353080780386"/>
                      <c:h val="8.43753399909574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5-D709-4071-8D9F-6350AAE90E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(Rx)'!$A$3:$A$34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'Total PDC (Rx)'!$Z$3:$Z$35</c:f>
              <c:numCache>
                <c:formatCode>0.000_ </c:formatCode>
                <c:ptCount val="33"/>
                <c:pt idx="0">
                  <c:v>0.57563851000400001</c:v>
                </c:pt>
                <c:pt idx="1">
                  <c:v>0.58005901150900008</c:v>
                </c:pt>
                <c:pt idx="2">
                  <c:v>0.58070493410500001</c:v>
                </c:pt>
                <c:pt idx="3">
                  <c:v>0.58039731664300009</c:v>
                </c:pt>
                <c:pt idx="4">
                  <c:v>0.58087477765600004</c:v>
                </c:pt>
                <c:pt idx="5">
                  <c:v>0.58136375353199998</c:v>
                </c:pt>
                <c:pt idx="6">
                  <c:v>0.58135575250999993</c:v>
                </c:pt>
                <c:pt idx="7">
                  <c:v>0.58153861259700002</c:v>
                </c:pt>
                <c:pt idx="8">
                  <c:v>0.58195986218399998</c:v>
                </c:pt>
                <c:pt idx="9">
                  <c:v>0.58284027476700007</c:v>
                </c:pt>
                <c:pt idx="10">
                  <c:v>0.58367076376100002</c:v>
                </c:pt>
                <c:pt idx="11">
                  <c:v>0.58414273955000007</c:v>
                </c:pt>
                <c:pt idx="12">
                  <c:v>0.58474324959800006</c:v>
                </c:pt>
                <c:pt idx="13">
                  <c:v>0.58537357853100003</c:v>
                </c:pt>
                <c:pt idx="14">
                  <c:v>0.58626379194899991</c:v>
                </c:pt>
                <c:pt idx="15">
                  <c:v>0.58692302922100004</c:v>
                </c:pt>
                <c:pt idx="16">
                  <c:v>0.58765469231800005</c:v>
                </c:pt>
                <c:pt idx="17">
                  <c:v>0.58909950910500009</c:v>
                </c:pt>
                <c:pt idx="18">
                  <c:v>0.59001843374600005</c:v>
                </c:pt>
                <c:pt idx="19">
                  <c:v>0.59137682705400008</c:v>
                </c:pt>
                <c:pt idx="20">
                  <c:v>0.59237707471799994</c:v>
                </c:pt>
                <c:pt idx="21">
                  <c:v>0.59377127572999999</c:v>
                </c:pt>
                <c:pt idx="22">
                  <c:v>0.59495470720200005</c:v>
                </c:pt>
                <c:pt idx="23">
                  <c:v>0.59667272224599999</c:v>
                </c:pt>
                <c:pt idx="24">
                  <c:v>0.59819877536700006</c:v>
                </c:pt>
                <c:pt idx="25">
                  <c:v>0.59984906321800013</c:v>
                </c:pt>
                <c:pt idx="26">
                  <c:v>0.60164200380299993</c:v>
                </c:pt>
                <c:pt idx="27">
                  <c:v>0.60373995852000006</c:v>
                </c:pt>
                <c:pt idx="28">
                  <c:v>0.60582251669000009</c:v>
                </c:pt>
                <c:pt idx="29">
                  <c:v>0.60785634558700008</c:v>
                </c:pt>
                <c:pt idx="30">
                  <c:v>0.60902945538700015</c:v>
                </c:pt>
                <c:pt idx="31">
                  <c:v>0.61087572375700006</c:v>
                </c:pt>
                <c:pt idx="32">
                  <c:v>0.61224591489000002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709-4071-8D9F-6350AAE90E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KR" panose="020B0500000000000000" pitchFamily="34" charset="-127"/>
                    <a:ea typeface="Noto Sans K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KR" panose="020B0500000000000000" pitchFamily="34" charset="-127"/>
                  <a:ea typeface="Noto Sans K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KR" panose="020B0500000000000000" pitchFamily="34" charset="-127"/>
                <a:ea typeface="Noto Sans K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KR" panose="020B0500000000000000" pitchFamily="34" charset="-127"/>
              <a:ea typeface="Noto Sans K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KR" panose="020B0500000000000000" pitchFamily="34" charset="-127"/>
          <a:ea typeface="Noto Sans K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r>
              <a:rPr lang="en-US"/>
              <a:t>TX-29 GHz-B1-V0</a:t>
            </a:r>
            <a:endParaRPr 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Noto Sans CJK KR Regular" panose="020B0500000000000000" pitchFamily="34" charset="-127"/>
              <a:ea typeface="Noto Sans CJK KR Regular" panose="020B0500000000000000" pitchFamily="34" charset="-127"/>
              <a:cs typeface="+mn-cs"/>
            </a:defRPr>
          </a:pPr>
          <a:endParaRPr lang="ko-KR" alt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'Total PDC (Rx)'!$C$1</c:f>
              <c:strCache>
                <c:ptCount val="1"/>
                <c:pt idx="0">
                  <c:v>Pin (dBm)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8.0634920634920261E-3"/>
                  <c:y val="-0.1393472028684441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53-4946-8CAB-3F67C1E9D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(Rx)'!$C$37:$C$69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(Rx)'!$C$37:$C$69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AF0-45D3-88C9-121C17277766}"/>
            </c:ext>
          </c:extLst>
        </c:ser>
        <c:ser>
          <c:idx val="2"/>
          <c:order val="1"/>
          <c:tx>
            <c:strRef>
              <c:f>'Total PDC (Rx)'!$E$1</c:f>
              <c:strCache>
                <c:ptCount val="1"/>
                <c:pt idx="0">
                  <c:v>Gain (dB)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1.3103174603174566E-2"/>
                  <c:y val="-8.29027662635046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53-4946-8CAB-3F67C1E9DE8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(Rx)'!$C$37:$C$69</c:f>
              <c:numCache>
                <c:formatCode>0.00_ </c:formatCode>
                <c:ptCount val="33"/>
                <c:pt idx="0">
                  <c:v>-54.020450186761437</c:v>
                </c:pt>
                <c:pt idx="1">
                  <c:v>-52.020450186761437</c:v>
                </c:pt>
                <c:pt idx="2">
                  <c:v>-50.020450186761437</c:v>
                </c:pt>
                <c:pt idx="3">
                  <c:v>-48.020450186761437</c:v>
                </c:pt>
                <c:pt idx="4">
                  <c:v>-46.020450186761437</c:v>
                </c:pt>
                <c:pt idx="5">
                  <c:v>-44.020450186761437</c:v>
                </c:pt>
                <c:pt idx="6">
                  <c:v>-42.020450186761437</c:v>
                </c:pt>
                <c:pt idx="7">
                  <c:v>-40.020450186761437</c:v>
                </c:pt>
                <c:pt idx="8">
                  <c:v>-38.020450186761437</c:v>
                </c:pt>
                <c:pt idx="9">
                  <c:v>-36.020450186761437</c:v>
                </c:pt>
                <c:pt idx="10">
                  <c:v>-34.020450186761437</c:v>
                </c:pt>
                <c:pt idx="11">
                  <c:v>-33.020450186761437</c:v>
                </c:pt>
                <c:pt idx="12">
                  <c:v>-32.020450186761437</c:v>
                </c:pt>
                <c:pt idx="13">
                  <c:v>-31.02045018676144</c:v>
                </c:pt>
                <c:pt idx="14">
                  <c:v>-30.02045018676144</c:v>
                </c:pt>
                <c:pt idx="15">
                  <c:v>-29.02045018676144</c:v>
                </c:pt>
                <c:pt idx="16">
                  <c:v>-28.02045018676144</c:v>
                </c:pt>
                <c:pt idx="17">
                  <c:v>-27.02045018676144</c:v>
                </c:pt>
                <c:pt idx="18">
                  <c:v>-26.02045018676144</c:v>
                </c:pt>
                <c:pt idx="19">
                  <c:v>-25.02045018676144</c:v>
                </c:pt>
                <c:pt idx="20">
                  <c:v>-24.02045018676144</c:v>
                </c:pt>
                <c:pt idx="21">
                  <c:v>-23.02045018676144</c:v>
                </c:pt>
                <c:pt idx="22">
                  <c:v>-22.02045018676144</c:v>
                </c:pt>
                <c:pt idx="23">
                  <c:v>-21.02045018676144</c:v>
                </c:pt>
                <c:pt idx="24">
                  <c:v>-20.02045018676144</c:v>
                </c:pt>
                <c:pt idx="25">
                  <c:v>-19.02045018676144</c:v>
                </c:pt>
                <c:pt idx="26">
                  <c:v>-18.02045018676144</c:v>
                </c:pt>
                <c:pt idx="27">
                  <c:v>-17.021828766761441</c:v>
                </c:pt>
                <c:pt idx="28">
                  <c:v>-16.018493766761431</c:v>
                </c:pt>
                <c:pt idx="29">
                  <c:v>-15.020379966761441</c:v>
                </c:pt>
                <c:pt idx="30">
                  <c:v>-14.021508466761439</c:v>
                </c:pt>
                <c:pt idx="31">
                  <c:v>-13.020039966761439</c:v>
                </c:pt>
                <c:pt idx="32">
                  <c:v>-12.01370876676144</c:v>
                </c:pt>
              </c:numCache>
            </c:numRef>
          </c:cat>
          <c:val>
            <c:numRef>
              <c:f>'Total PDC (Rx)'!$E$37:$E$69</c:f>
              <c:numCache>
                <c:formatCode>0.00_ </c:formatCode>
                <c:ptCount val="33"/>
                <c:pt idx="0">
                  <c:v>29.161013343366761</c:v>
                </c:pt>
                <c:pt idx="1">
                  <c:v>29.634548543366758</c:v>
                </c:pt>
                <c:pt idx="2">
                  <c:v>29.827361643366771</c:v>
                </c:pt>
                <c:pt idx="3">
                  <c:v>30.034563443366771</c:v>
                </c:pt>
                <c:pt idx="4">
                  <c:v>30.06863124336677</c:v>
                </c:pt>
                <c:pt idx="5">
                  <c:v>30.146055043366768</c:v>
                </c:pt>
                <c:pt idx="6">
                  <c:v>30.05447674336677</c:v>
                </c:pt>
                <c:pt idx="7">
                  <c:v>29.911360543366769</c:v>
                </c:pt>
                <c:pt idx="8">
                  <c:v>29.646098543366769</c:v>
                </c:pt>
                <c:pt idx="9">
                  <c:v>29.21432804336677</c:v>
                </c:pt>
                <c:pt idx="10">
                  <c:v>28.483353543366771</c:v>
                </c:pt>
                <c:pt idx="11">
                  <c:v>27.96876604336677</c:v>
                </c:pt>
                <c:pt idx="12">
                  <c:v>27.350110543366771</c:v>
                </c:pt>
                <c:pt idx="13">
                  <c:v>26.623748543366769</c:v>
                </c:pt>
                <c:pt idx="14">
                  <c:v>25.795821143366769</c:v>
                </c:pt>
                <c:pt idx="15">
                  <c:v>24.86355814336677</c:v>
                </c:pt>
                <c:pt idx="16">
                  <c:v>23.846620543366772</c:v>
                </c:pt>
                <c:pt idx="17">
                  <c:v>22.76482144336677</c:v>
                </c:pt>
                <c:pt idx="18">
                  <c:v>21.654239543366771</c:v>
                </c:pt>
                <c:pt idx="19">
                  <c:v>20.51966464336677</c:v>
                </c:pt>
                <c:pt idx="20">
                  <c:v>19.40349404336677</c:v>
                </c:pt>
                <c:pt idx="21">
                  <c:v>18.304713143366769</c:v>
                </c:pt>
                <c:pt idx="22">
                  <c:v>17.230894643366771</c:v>
                </c:pt>
                <c:pt idx="23">
                  <c:v>16.202043343366771</c:v>
                </c:pt>
                <c:pt idx="24">
                  <c:v>15.217378443366769</c:v>
                </c:pt>
                <c:pt idx="25">
                  <c:v>14.273337743366771</c:v>
                </c:pt>
                <c:pt idx="26">
                  <c:v>13.370549543366771</c:v>
                </c:pt>
                <c:pt idx="27">
                  <c:v>12.523411623366769</c:v>
                </c:pt>
                <c:pt idx="28">
                  <c:v>11.695750123366761</c:v>
                </c:pt>
                <c:pt idx="29">
                  <c:v>10.89483152336676</c:v>
                </c:pt>
                <c:pt idx="30">
                  <c:v>10.109810923366769</c:v>
                </c:pt>
                <c:pt idx="31">
                  <c:v>9.3304758233667666</c:v>
                </c:pt>
                <c:pt idx="32">
                  <c:v>8.5631081233667654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AF0-45D3-88C9-121C172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55371984"/>
        <c:axId val="1855372944"/>
      </c:lineChart>
      <c:lineChart>
        <c:grouping val="standard"/>
        <c:varyColors val="0"/>
        <c:ser>
          <c:idx val="3"/>
          <c:order val="2"/>
          <c:tx>
            <c:strRef>
              <c:f>'Total PDC (Rx)'!$Z$1</c:f>
              <c:strCache>
                <c:ptCount val="1"/>
                <c:pt idx="0">
                  <c:v>Psum (W)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ysDash"/>
              <a:round/>
            </a:ln>
            <a:effectLst/>
          </c:spPr>
          <c:marker>
            <c:symbol val="none"/>
          </c:marker>
          <c:dLbls>
            <c:dLbl>
              <c:idx val="7"/>
              <c:layout>
                <c:manualLayout>
                  <c:x val="2.5198412698412623E-2"/>
                  <c:y val="6.702776846836548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53-4946-8CAB-3F67C1E9DE8B}"/>
                </c:ext>
              </c:extLst>
            </c:dLbl>
            <c:dLbl>
              <c:idx val="29"/>
              <c:delete val="1"/>
              <c:extLst>
                <c:ext xmlns:c15="http://schemas.microsoft.com/office/drawing/2012/chart" uri="{CE6537A1-D6FC-4f65-9D91-7224C49458BB}">
                  <c15:layout>
                    <c:manualLayout>
                      <c:w val="7.5904174306685793E-2"/>
                      <c:h val="3.383458738418252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AF0-45D3-88C9-121C1727776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'Total PDC (Rx)'!$A$37:$A$68</c:f>
              <c:numCache>
                <c:formatCode>0_ </c:formatCode>
                <c:ptCount val="3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</c:numCache>
            </c:numRef>
          </c:cat>
          <c:val>
            <c:numRef>
              <c:f>'Total PDC (Rx)'!$Z$37:$Z$69</c:f>
              <c:numCache>
                <c:formatCode>0.000_ </c:formatCode>
                <c:ptCount val="33"/>
                <c:pt idx="0">
                  <c:v>0.57297702198</c:v>
                </c:pt>
                <c:pt idx="1">
                  <c:v>0.57669369574500007</c:v>
                </c:pt>
                <c:pt idx="2">
                  <c:v>0.57755571255800009</c:v>
                </c:pt>
                <c:pt idx="3">
                  <c:v>0.57761903745100018</c:v>
                </c:pt>
                <c:pt idx="4">
                  <c:v>0.57745255274300011</c:v>
                </c:pt>
                <c:pt idx="5">
                  <c:v>0.5774597519950001</c:v>
                </c:pt>
                <c:pt idx="6">
                  <c:v>0.57829087166700011</c:v>
                </c:pt>
                <c:pt idx="7">
                  <c:v>0.57860998616300008</c:v>
                </c:pt>
                <c:pt idx="8">
                  <c:v>0.5790025227190001</c:v>
                </c:pt>
                <c:pt idx="9">
                  <c:v>0.57979621458700015</c:v>
                </c:pt>
                <c:pt idx="10">
                  <c:v>0.580598102846</c:v>
                </c:pt>
                <c:pt idx="11">
                  <c:v>0.581107678435</c:v>
                </c:pt>
                <c:pt idx="12">
                  <c:v>0.58176691396000013</c:v>
                </c:pt>
                <c:pt idx="13">
                  <c:v>0.58225229021000002</c:v>
                </c:pt>
                <c:pt idx="14">
                  <c:v>0.58330636754200005</c:v>
                </c:pt>
                <c:pt idx="15">
                  <c:v>0.58387026811599996</c:v>
                </c:pt>
                <c:pt idx="16">
                  <c:v>0.58485331942000007</c:v>
                </c:pt>
                <c:pt idx="17">
                  <c:v>0.58582557184600004</c:v>
                </c:pt>
                <c:pt idx="18">
                  <c:v>0.58688504861700008</c:v>
                </c:pt>
                <c:pt idx="19">
                  <c:v>0.58842660189899998</c:v>
                </c:pt>
                <c:pt idx="20">
                  <c:v>0.58946837958400011</c:v>
                </c:pt>
                <c:pt idx="21">
                  <c:v>0.59069021950000011</c:v>
                </c:pt>
                <c:pt idx="22">
                  <c:v>0.59194295612400016</c:v>
                </c:pt>
                <c:pt idx="23">
                  <c:v>0.5938605495660001</c:v>
                </c:pt>
                <c:pt idx="24">
                  <c:v>0.59501136339300009</c:v>
                </c:pt>
                <c:pt idx="25">
                  <c:v>0.59672757952800004</c:v>
                </c:pt>
                <c:pt idx="26">
                  <c:v>0.59874490847400008</c:v>
                </c:pt>
                <c:pt idx="27">
                  <c:v>0.60122900582000005</c:v>
                </c:pt>
                <c:pt idx="28">
                  <c:v>0.603048056045</c:v>
                </c:pt>
                <c:pt idx="29">
                  <c:v>0.60521163735100014</c:v>
                </c:pt>
                <c:pt idx="30">
                  <c:v>0.60626961419600001</c:v>
                </c:pt>
                <c:pt idx="31">
                  <c:v>0.60741142811500004</c:v>
                </c:pt>
                <c:pt idx="32">
                  <c:v>0.60871669165800002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AF0-45D3-88C9-121C172777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0119503"/>
        <c:axId val="840129583"/>
      </c:lineChart>
      <c:catAx>
        <c:axId val="18553719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Pin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1855372944"/>
        <c:crosses val="autoZero"/>
        <c:auto val="1"/>
        <c:lblAlgn val="ctr"/>
        <c:lblOffset val="100"/>
        <c:tickLblSkip val="4"/>
        <c:noMultiLvlLbl val="0"/>
      </c:catAx>
      <c:valAx>
        <c:axId val="185537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Pout (dBm)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_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1855371984"/>
        <c:crosses val="autoZero"/>
        <c:crossBetween val="between"/>
        <c:majorUnit val="10"/>
      </c:valAx>
      <c:valAx>
        <c:axId val="840129583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Noto Sans CJK KR Regular" panose="020B0500000000000000" pitchFamily="34" charset="-127"/>
                    <a:ea typeface="Noto Sans CJK KR Regular" panose="020B0500000000000000" pitchFamily="34" charset="-127"/>
                    <a:cs typeface="+mn-cs"/>
                  </a:defRPr>
                </a:pPr>
                <a:r>
                  <a:rPr lang="en-US"/>
                  <a:t>PDC (W)</a:t>
                </a:r>
                <a:endParaRPr lang="ko-K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Noto Sans CJK KR Regular" panose="020B0500000000000000" pitchFamily="34" charset="-127"/>
                  <a:ea typeface="Noto Sans CJK KR Regular" panose="020B0500000000000000" pitchFamily="34" charset="-127"/>
                  <a:cs typeface="+mn-cs"/>
                </a:defRPr>
              </a:pPr>
              <a:endParaRPr lang="ko-KR"/>
            </a:p>
          </c:txPr>
        </c:title>
        <c:numFmt formatCode="0.000_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Noto Sans CJK KR Regular" panose="020B0500000000000000" pitchFamily="34" charset="-127"/>
                <a:ea typeface="Noto Sans CJK KR Regular" panose="020B0500000000000000" pitchFamily="34" charset="-127"/>
                <a:cs typeface="+mn-cs"/>
              </a:defRPr>
            </a:pPr>
            <a:endParaRPr lang="ko-KR"/>
          </a:p>
        </c:txPr>
        <c:crossAx val="840119503"/>
        <c:crosses val="max"/>
        <c:crossBetween val="between"/>
        <c:majorUnit val="5"/>
      </c:valAx>
      <c:catAx>
        <c:axId val="840119503"/>
        <c:scaling>
          <c:orientation val="minMax"/>
        </c:scaling>
        <c:delete val="1"/>
        <c:axPos val="b"/>
        <c:numFmt formatCode="0_ " sourceLinked="1"/>
        <c:majorTickMark val="out"/>
        <c:minorTickMark val="none"/>
        <c:tickLblPos val="nextTo"/>
        <c:crossAx val="840129583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Noto Sans CJK KR Regular" panose="020B0500000000000000" pitchFamily="34" charset="-127"/>
              <a:ea typeface="Noto Sans CJK KR Regular" panose="020B0500000000000000" pitchFamily="34" charset="-127"/>
              <a:cs typeface="+mn-cs"/>
            </a:defRPr>
          </a:pPr>
          <a:endParaRPr lang="ko-K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500">
          <a:latin typeface="Noto Sans CJK KR Regular" panose="020B0500000000000000" pitchFamily="34" charset="-127"/>
          <a:ea typeface="Noto Sans CJK KR Regular" panose="020B0500000000000000" pitchFamily="34" charset="-127"/>
        </a:defRPr>
      </a:pPr>
      <a:endParaRPr lang="ko-KR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0</xdr:colOff>
      <xdr:row>2</xdr:row>
      <xdr:rowOff>0</xdr:rowOff>
    </xdr:from>
    <xdr:to>
      <xdr:col>46</xdr:col>
      <xdr:colOff>492864</xdr:colOff>
      <xdr:row>36</xdr:row>
      <xdr:rowOff>232930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B171B795-CA26-4EE2-A837-9C57667621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0</xdr:colOff>
      <xdr:row>38</xdr:row>
      <xdr:rowOff>0</xdr:rowOff>
    </xdr:from>
    <xdr:to>
      <xdr:col>46</xdr:col>
      <xdr:colOff>492864</xdr:colOff>
      <xdr:row>70</xdr:row>
      <xdr:rowOff>232930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F143D087-5DB5-4900-8A94-17941780389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0.64419</cdr:x>
      <cdr:y>0.01442</cdr:y>
    </cdr:from>
    <cdr:to>
      <cdr:x>0.64419</cdr:x>
      <cdr:y>0.7396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5877360" y="79551"/>
          <a:ext cx="0" cy="4000337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0</xdr:rowOff>
    </xdr:from>
    <xdr:to>
      <xdr:col>12</xdr:col>
      <xdr:colOff>95543</xdr:colOff>
      <xdr:row>23</xdr:row>
      <xdr:rowOff>222885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70F96555-4917-4F6E-8FB1-AC8C0E805627}"/>
            </a:ext>
          </a:extLst>
        </xdr:cNvPr>
        <xdr:cNvGrpSpPr/>
      </xdr:nvGrpSpPr>
      <xdr:grpSpPr>
        <a:xfrm>
          <a:off x="2646590" y="489857"/>
          <a:ext cx="5409132" cy="5080635"/>
          <a:chOff x="37356479" y="2382733"/>
          <a:chExt cx="5425614" cy="5435219"/>
        </a:xfrm>
      </xdr:grpSpPr>
      <xdr:graphicFrame macro="">
        <xdr:nvGraphicFramePr>
          <xdr:cNvPr id="21" name="차트 20">
            <a:extLst>
              <a:ext uri="{FF2B5EF4-FFF2-40B4-BE49-F238E27FC236}">
                <a16:creationId xmlns:a16="http://schemas.microsoft.com/office/drawing/2014/main" id="{AB916941-F89E-AF1A-7D2C-3D9CEEFC9384}"/>
              </a:ext>
            </a:extLst>
          </xdr:cNvPr>
          <xdr:cNvGraphicFramePr>
            <a:graphicFrameLocks/>
          </xdr:cNvGraphicFramePr>
        </xdr:nvGraphicFramePr>
        <xdr:xfrm>
          <a:off x="37356479" y="2382733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05F461D3-CFB5-6F1C-A1B4-2EB3026AF432}"/>
              </a:ext>
            </a:extLst>
          </xdr:cNvPr>
          <xdr:cNvSpPr txBox="1"/>
        </xdr:nvSpPr>
        <xdr:spPr>
          <a:xfrm>
            <a:off x="38975219" y="4930541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(16.86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13</xdr:col>
      <xdr:colOff>302560</xdr:colOff>
      <xdr:row>2</xdr:row>
      <xdr:rowOff>0</xdr:rowOff>
    </xdr:from>
    <xdr:to>
      <xdr:col>21</xdr:col>
      <xdr:colOff>361429</xdr:colOff>
      <xdr:row>23</xdr:row>
      <xdr:rowOff>226959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AE3C31-153B-4C01-833C-0168EB8EF763}"/>
            </a:ext>
          </a:extLst>
        </xdr:cNvPr>
        <xdr:cNvGrpSpPr/>
      </xdr:nvGrpSpPr>
      <xdr:grpSpPr>
        <a:xfrm>
          <a:off x="8779810" y="489857"/>
          <a:ext cx="5406476" cy="5084709"/>
          <a:chOff x="43346047" y="2383914"/>
          <a:chExt cx="5422411" cy="5435219"/>
        </a:xfrm>
      </xdr:grpSpPr>
      <xdr:graphicFrame macro="">
        <xdr:nvGraphicFramePr>
          <xdr:cNvPr id="24" name="차트 23">
            <a:extLst>
              <a:ext uri="{FF2B5EF4-FFF2-40B4-BE49-F238E27FC236}">
                <a16:creationId xmlns:a16="http://schemas.microsoft.com/office/drawing/2014/main" id="{E5CFA77E-A767-D77A-D08F-9D2892025307}"/>
              </a:ext>
            </a:extLst>
          </xdr:cNvPr>
          <xdr:cNvGraphicFramePr>
            <a:graphicFrameLocks/>
          </xdr:cNvGraphicFramePr>
        </xdr:nvGraphicFramePr>
        <xdr:xfrm>
          <a:off x="43346047" y="2383914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25" name="TextBox 24">
            <a:extLst>
              <a:ext uri="{FF2B5EF4-FFF2-40B4-BE49-F238E27FC236}">
                <a16:creationId xmlns:a16="http://schemas.microsoft.com/office/drawing/2014/main" id="{041728EF-B6EC-BCBA-9A7B-97783CAE5C44}"/>
              </a:ext>
            </a:extLst>
          </xdr:cNvPr>
          <xdr:cNvSpPr txBox="1"/>
        </xdr:nvSpPr>
        <xdr:spPr>
          <a:xfrm>
            <a:off x="44820741" y="4979195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(8.01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5</xdr:col>
      <xdr:colOff>0</xdr:colOff>
      <xdr:row>25</xdr:row>
      <xdr:rowOff>0</xdr:rowOff>
    </xdr:from>
    <xdr:to>
      <xdr:col>12</xdr:col>
      <xdr:colOff>95543</xdr:colOff>
      <xdr:row>46</xdr:row>
      <xdr:rowOff>222884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2B1CCE8F-12D1-4ECD-9A93-F3A9D3837672}"/>
            </a:ext>
          </a:extLst>
        </xdr:cNvPr>
        <xdr:cNvGrpSpPr/>
      </xdr:nvGrpSpPr>
      <xdr:grpSpPr>
        <a:xfrm>
          <a:off x="2646590" y="5810250"/>
          <a:ext cx="5409132" cy="5080634"/>
          <a:chOff x="37356479" y="2382733"/>
          <a:chExt cx="5425614" cy="5435219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3D68228B-1136-EEAD-5CB1-94468A15155E}"/>
              </a:ext>
            </a:extLst>
          </xdr:cNvPr>
          <xdr:cNvGraphicFramePr>
            <a:graphicFrameLocks/>
          </xdr:cNvGraphicFramePr>
        </xdr:nvGraphicFramePr>
        <xdr:xfrm>
          <a:off x="37356479" y="2382733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D111DCD9-C02F-4381-8EF1-B2B0EA88C153}"/>
              </a:ext>
            </a:extLst>
          </xdr:cNvPr>
          <xdr:cNvSpPr txBox="1"/>
        </xdr:nvSpPr>
        <xdr:spPr>
          <a:xfrm>
            <a:off x="38975219" y="4930541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(16.86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13</xdr:col>
      <xdr:colOff>347383</xdr:colOff>
      <xdr:row>24</xdr:row>
      <xdr:rowOff>212912</xdr:rowOff>
    </xdr:from>
    <xdr:to>
      <xdr:col>21</xdr:col>
      <xdr:colOff>406252</xdr:colOff>
      <xdr:row>46</xdr:row>
      <xdr:rowOff>193341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DB133345-3F28-458B-9883-CF5D113393FC}"/>
            </a:ext>
          </a:extLst>
        </xdr:cNvPr>
        <xdr:cNvGrpSpPr/>
      </xdr:nvGrpSpPr>
      <xdr:grpSpPr>
        <a:xfrm>
          <a:off x="8824633" y="5791841"/>
          <a:ext cx="5406476" cy="5069500"/>
          <a:chOff x="43694609" y="2350103"/>
          <a:chExt cx="5422411" cy="5435219"/>
        </a:xfrm>
      </xdr:grpSpPr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248D3DC9-9D81-0119-F876-8EC1709C861C}"/>
              </a:ext>
            </a:extLst>
          </xdr:cNvPr>
          <xdr:cNvGraphicFramePr>
            <a:graphicFrameLocks/>
          </xdr:cNvGraphicFramePr>
        </xdr:nvGraphicFramePr>
        <xdr:xfrm>
          <a:off x="43694609" y="2350103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F7B56FA-7842-38B2-664C-92E8657F7333}"/>
              </a:ext>
            </a:extLst>
          </xdr:cNvPr>
          <xdr:cNvSpPr txBox="1"/>
        </xdr:nvSpPr>
        <xdr:spPr>
          <a:xfrm>
            <a:off x="44820741" y="4979195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(8.01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519546</xdr:colOff>
      <xdr:row>6</xdr:row>
      <xdr:rowOff>103909</xdr:rowOff>
    </xdr:from>
    <xdr:to>
      <xdr:col>37</xdr:col>
      <xdr:colOff>365503</xdr:colOff>
      <xdr:row>28</xdr:row>
      <xdr:rowOff>84338</xdr:rowOff>
    </xdr:to>
    <xdr:grpSp>
      <xdr:nvGrpSpPr>
        <xdr:cNvPr id="2" name="그룹 1">
          <a:extLst>
            <a:ext uri="{FF2B5EF4-FFF2-40B4-BE49-F238E27FC236}">
              <a16:creationId xmlns:a16="http://schemas.microsoft.com/office/drawing/2014/main" id="{1DA7B158-7595-48E3-A87D-B70E33B1F1A1}"/>
            </a:ext>
          </a:extLst>
        </xdr:cNvPr>
        <xdr:cNvGrpSpPr/>
      </xdr:nvGrpSpPr>
      <xdr:grpSpPr>
        <a:xfrm>
          <a:off x="20302557" y="1511952"/>
          <a:ext cx="5345609" cy="4991408"/>
          <a:chOff x="37356479" y="2382733"/>
          <a:chExt cx="5425614" cy="5435219"/>
        </a:xfrm>
      </xdr:grpSpPr>
      <xdr:graphicFrame macro="">
        <xdr:nvGraphicFramePr>
          <xdr:cNvPr id="3" name="차트 2">
            <a:extLst>
              <a:ext uri="{FF2B5EF4-FFF2-40B4-BE49-F238E27FC236}">
                <a16:creationId xmlns:a16="http://schemas.microsoft.com/office/drawing/2014/main" id="{08F7C87D-5E8F-3006-A3E4-593E8FB79260}"/>
              </a:ext>
            </a:extLst>
          </xdr:cNvPr>
          <xdr:cNvGraphicFramePr>
            <a:graphicFrameLocks/>
          </xdr:cNvGraphicFramePr>
        </xdr:nvGraphicFramePr>
        <xdr:xfrm>
          <a:off x="37356479" y="2382733"/>
          <a:ext cx="5425614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sp macro="" textlink="">
        <xdr:nvSpPr>
          <xdr:cNvPr id="4" name="TextBox 3">
            <a:extLst>
              <a:ext uri="{FF2B5EF4-FFF2-40B4-BE49-F238E27FC236}">
                <a16:creationId xmlns:a16="http://schemas.microsoft.com/office/drawing/2014/main" id="{2A37D6E8-3DBC-9CE8-BCA0-403B89C9E98F}"/>
              </a:ext>
            </a:extLst>
          </xdr:cNvPr>
          <xdr:cNvSpPr txBox="1"/>
        </xdr:nvSpPr>
        <xdr:spPr>
          <a:xfrm>
            <a:off x="38975219" y="4930541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(16.91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  <xdr:twoCellAnchor>
    <xdr:from>
      <xdr:col>38</xdr:col>
      <xdr:colOff>390169</xdr:colOff>
      <xdr:row>6</xdr:row>
      <xdr:rowOff>155864</xdr:rowOff>
    </xdr:from>
    <xdr:to>
      <xdr:col>46</xdr:col>
      <xdr:colOff>271782</xdr:colOff>
      <xdr:row>28</xdr:row>
      <xdr:rowOff>136293</xdr:rowOff>
    </xdr:to>
    <xdr:grpSp>
      <xdr:nvGrpSpPr>
        <xdr:cNvPr id="5" name="그룹 4">
          <a:extLst>
            <a:ext uri="{FF2B5EF4-FFF2-40B4-BE49-F238E27FC236}">
              <a16:creationId xmlns:a16="http://schemas.microsoft.com/office/drawing/2014/main" id="{30A74C30-8C11-49F2-BE0B-7311FED68C0F}"/>
            </a:ext>
          </a:extLst>
        </xdr:cNvPr>
        <xdr:cNvGrpSpPr/>
      </xdr:nvGrpSpPr>
      <xdr:grpSpPr>
        <a:xfrm>
          <a:off x="26360289" y="1563907"/>
          <a:ext cx="5381265" cy="4991408"/>
          <a:chOff x="43346047" y="2383914"/>
          <a:chExt cx="5422411" cy="5435219"/>
        </a:xfrm>
      </xdr:grpSpPr>
      <xdr:graphicFrame macro="">
        <xdr:nvGraphicFramePr>
          <xdr:cNvPr id="6" name="차트 5">
            <a:extLst>
              <a:ext uri="{FF2B5EF4-FFF2-40B4-BE49-F238E27FC236}">
                <a16:creationId xmlns:a16="http://schemas.microsoft.com/office/drawing/2014/main" id="{4C0E6FC1-BF35-3CC0-C608-F948CFAF00AC}"/>
              </a:ext>
            </a:extLst>
          </xdr:cNvPr>
          <xdr:cNvGraphicFramePr>
            <a:graphicFrameLocks/>
          </xdr:cNvGraphicFramePr>
        </xdr:nvGraphicFramePr>
        <xdr:xfrm>
          <a:off x="43346047" y="2383914"/>
          <a:ext cx="5422411" cy="543521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7A9C45AC-B79C-AEDE-33EA-F79EF6EA4693}"/>
              </a:ext>
            </a:extLst>
          </xdr:cNvPr>
          <xdr:cNvSpPr txBox="1"/>
        </xdr:nvSpPr>
        <xdr:spPr>
          <a:xfrm>
            <a:off x="44820741" y="4979195"/>
            <a:ext cx="1266264" cy="896471"/>
          </a:xfrm>
          <a:prstGeom prst="rect">
            <a:avLst/>
          </a:prstGeom>
          <a:solidFill>
            <a:schemeClr val="bg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Max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- Min</a:t>
            </a:r>
            <a:endParaRPr lang="en-US" altLang="ko-KR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  <a:p>
            <a:pPr algn="ctr"/>
            <a:r>
              <a:rPr lang="en-US" altLang="ko-KR" sz="1500" b="1" kern="1200">
                <a:latin typeface="Noto Sans KR" panose="020B0500000000000000" pitchFamily="34" charset="-127"/>
                <a:ea typeface="Noto Sans KR" panose="020B0500000000000000" pitchFamily="34" charset="-127"/>
              </a:rPr>
              <a:t>(8.04</a:t>
            </a:r>
            <a:r>
              <a:rPr lang="en-US" altLang="ko-KR" sz="1500" b="1" kern="1200" baseline="0">
                <a:latin typeface="Noto Sans KR" panose="020B0500000000000000" pitchFamily="34" charset="-127"/>
                <a:ea typeface="Noto Sans KR" panose="020B0500000000000000" pitchFamily="34" charset="-127"/>
              </a:rPr>
              <a:t> dB)</a:t>
            </a:r>
            <a:endParaRPr lang="ko-KR" altLang="en-US" sz="1500" b="1" kern="1200">
              <a:latin typeface="Noto Sans KR" panose="020B0500000000000000" pitchFamily="34" charset="-127"/>
              <a:ea typeface="Noto Sans KR" panose="020B0500000000000000" pitchFamily="34" charset="-127"/>
            </a:endParaRPr>
          </a:p>
        </xdr:txBody>
      </xdr:sp>
    </xdr:grp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27</xdr:col>
      <xdr:colOff>190500</xdr:colOff>
      <xdr:row>2</xdr:row>
      <xdr:rowOff>155864</xdr:rowOff>
    </xdr:from>
    <xdr:to>
      <xdr:col>45</xdr:col>
      <xdr:colOff>321409</xdr:colOff>
      <xdr:row>32</xdr:row>
      <xdr:rowOff>82228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E8C04DD-E474-4B16-A3CA-DBB41878FE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103908</xdr:colOff>
      <xdr:row>37</xdr:row>
      <xdr:rowOff>173182</xdr:rowOff>
    </xdr:from>
    <xdr:to>
      <xdr:col>45</xdr:col>
      <xdr:colOff>234817</xdr:colOff>
      <xdr:row>67</xdr:row>
      <xdr:rowOff>99546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D99EE283-EE9C-4AC3-BF5F-4320243FF2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0.86395</cdr:x>
      <cdr:y>0.00262</cdr:y>
    </cdr:from>
    <cdr:to>
      <cdr:x>0.86395</cdr:x>
      <cdr:y>0.7278</cdr:y>
    </cdr:to>
    <cdr:cxnSp macro="">
      <cdr:nvCxnSpPr>
        <cdr:cNvPr id="3" name="직선 연결선 2">
          <a:extLst xmlns:a="http://schemas.openxmlformats.org/drawingml/2006/main">
            <a:ext uri="{FF2B5EF4-FFF2-40B4-BE49-F238E27FC236}">
              <a16:creationId xmlns:a16="http://schemas.microsoft.com/office/drawing/2014/main" id="{02CB527D-F20E-B453-9417-9B6767C6ECEB}"/>
            </a:ext>
          </a:extLst>
        </cdr:cNvPr>
        <cdr:cNvCxnSpPr/>
      </cdr:nvCxnSpPr>
      <cdr:spPr>
        <a:xfrm xmlns:a="http://schemas.openxmlformats.org/drawingml/2006/main">
          <a:off x="11727961" y="21526"/>
          <a:ext cx="0" cy="5954659"/>
        </a:xfrm>
        <a:prstGeom xmlns:a="http://schemas.openxmlformats.org/drawingml/2006/main" prst="line">
          <a:avLst/>
        </a:prstGeom>
        <a:ln xmlns:a="http://schemas.openxmlformats.org/drawingml/2006/main">
          <a:solidFill>
            <a:schemeClr val="bg1">
              <a:lumMod val="85000"/>
            </a:schemeClr>
          </a:solidFill>
          <a:prstDash val="dash"/>
        </a:ln>
      </cdr:spPr>
      <cdr:style>
        <a:lnRef xmlns:a="http://schemas.openxmlformats.org/drawingml/2006/main" idx="2">
          <a:schemeClr val="accent1"/>
        </a:lnRef>
        <a:fillRef xmlns:a="http://schemas.openxmlformats.org/drawingml/2006/main" idx="0">
          <a:schemeClr val="accent1"/>
        </a:fillRef>
        <a:effectRef xmlns:a="http://schemas.openxmlformats.org/drawingml/2006/main" idx="1">
          <a:schemeClr val="accent1"/>
        </a:effectRef>
        <a:fontRef xmlns:a="http://schemas.openxmlformats.org/drawingml/2006/main" idx="minor">
          <a:schemeClr val="tx1"/>
        </a:fontRef>
      </cdr:style>
    </cdr:cxn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acbc69fda8600821/&#46160;&#49328;&#51204;&#51088;_SEJIN/00_Work/B01_Sivers/C01_SATCOM/D99_Archive/Sivers%20&#52636;&#51109;/In%20practice/Chipset%20Evaluation%20Test%20Items_Summit2629e.xlsx" TargetMode="External"/><Relationship Id="rId1" Type="http://schemas.openxmlformats.org/officeDocument/2006/relationships/externalLinkPath" Target="https://d.docs.live.net/acbc69fda8600821/&#46160;&#49328;&#51204;&#51088;_SEJIN/00_Work/B01_Sivers/C01_SATCOM/D99_Archive/Sivers%20&#52636;&#51109;/In%20practice/Chipset%20Evaluation%20Test%20Items_Summit2629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st Items"/>
      <sheetName val="Q&amp;A"/>
      <sheetName val="Specification"/>
      <sheetName val="Beamformer IC"/>
      <sheetName val="Requests_Jul.8th"/>
      <sheetName val="Test Results"/>
      <sheetName val="Cable Loss"/>
      <sheetName val="Frequency vs Gain (Tx)"/>
      <sheetName val="Frequency vs Gain (Rx)"/>
      <sheetName val="Gain Accuracy_Tx"/>
      <sheetName val="Gain Accuracy_Rx"/>
      <sheetName val="CH Gain Alignment"/>
      <sheetName val="Tx Isolation"/>
      <sheetName val="(2) Power Sweep, EVM"/>
      <sheetName val="(3) Noise Figur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7">
          <cell r="C27">
            <v>-15.9080400467</v>
          </cell>
          <cell r="F27">
            <v>29.091959953299998</v>
          </cell>
          <cell r="Q27">
            <v>8.0975805379817495E-3</v>
          </cell>
          <cell r="T27">
            <v>-16.07643509</v>
          </cell>
          <cell r="V27">
            <v>9.8175134379964657</v>
          </cell>
        </row>
        <row r="28">
          <cell r="C28">
            <v>-15.010512351999999</v>
          </cell>
          <cell r="F28">
            <v>28.989487648000001</v>
          </cell>
          <cell r="Q28">
            <v>9.9719935653633952E-3</v>
          </cell>
          <cell r="T28">
            <v>-15.077301029999999</v>
          </cell>
          <cell r="V28">
            <v>8.85709331319533</v>
          </cell>
        </row>
        <row r="29">
          <cell r="C29">
            <v>-14.027832031200001</v>
          </cell>
          <cell r="F29">
            <v>28.972167968800001</v>
          </cell>
          <cell r="Q29">
            <v>1.2503967287791193E-2</v>
          </cell>
          <cell r="T29">
            <v>-14.078323360000001</v>
          </cell>
          <cell r="V29">
            <v>8.206134339449024</v>
          </cell>
        </row>
        <row r="30">
          <cell r="C30">
            <v>-13.0736570358</v>
          </cell>
          <cell r="F30">
            <v>28.9263429642</v>
          </cell>
          <cell r="Q30">
            <v>1.5576127162350236E-2</v>
          </cell>
          <cell r="T30">
            <v>-13.074920649999999</v>
          </cell>
          <cell r="V30">
            <v>7.4009922419342242</v>
          </cell>
        </row>
        <row r="31">
          <cell r="C31">
            <v>-12.126995086699999</v>
          </cell>
          <cell r="F31">
            <v>28.873004913300001</v>
          </cell>
          <cell r="Q31">
            <v>1.9369517313993168E-2</v>
          </cell>
          <cell r="T31">
            <v>-12.088283540000001</v>
          </cell>
          <cell r="V31">
            <v>6.9310206693804348</v>
          </cell>
        </row>
        <row r="32">
          <cell r="C32">
            <v>-11.0908584595</v>
          </cell>
          <cell r="F32">
            <v>28.909141540500002</v>
          </cell>
          <cell r="Q32">
            <v>2.4588788530376614E-2</v>
          </cell>
          <cell r="T32">
            <v>-11.093524929999999</v>
          </cell>
          <cell r="V32">
            <v>6.4197682342463915</v>
          </cell>
        </row>
        <row r="33">
          <cell r="C33">
            <v>-10.100666046100001</v>
          </cell>
          <cell r="F33">
            <v>28.899333953899998</v>
          </cell>
          <cell r="Q33">
            <v>3.0885533635601224E-2</v>
          </cell>
          <cell r="T33">
            <v>-10.14142608</v>
          </cell>
          <cell r="V33">
            <v>6.106433056197476</v>
          </cell>
        </row>
        <row r="34">
          <cell r="C34">
            <v>-9.1452198028599998</v>
          </cell>
          <cell r="F34">
            <v>28.854780197140002</v>
          </cell>
          <cell r="Q34">
            <v>3.848521846285264E-2</v>
          </cell>
          <cell r="T34">
            <v>-9.1021499630000005</v>
          </cell>
          <cell r="V34">
            <v>5.4631865998145583</v>
          </cell>
        </row>
        <row r="35">
          <cell r="C35">
            <v>-8.2807989120500007</v>
          </cell>
          <cell r="F35">
            <v>28.719201087949997</v>
          </cell>
          <cell r="Q35">
            <v>4.6958919382595346E-2</v>
          </cell>
          <cell r="T35">
            <v>-8.1142959589999997</v>
          </cell>
          <cell r="V35">
            <v>5.1576537623918997</v>
          </cell>
        </row>
        <row r="36">
          <cell r="C36">
            <v>-7.2388033866899999</v>
          </cell>
          <cell r="F36">
            <v>28.761196613309998</v>
          </cell>
          <cell r="Q36">
            <v>5.9598664349583663E-2</v>
          </cell>
          <cell r="T36">
            <v>-7.1334991460000001</v>
          </cell>
          <cell r="V36">
            <v>5.1134188066157709</v>
          </cell>
        </row>
        <row r="37">
          <cell r="C37">
            <v>-6.2564034462000002</v>
          </cell>
          <cell r="F37">
            <v>28.7435965538</v>
          </cell>
          <cell r="Q37">
            <v>7.4844675969392441E-2</v>
          </cell>
          <cell r="T37">
            <v>-6.0956649780000003</v>
          </cell>
          <cell r="V37">
            <v>4.9305780606440424</v>
          </cell>
        </row>
        <row r="38">
          <cell r="C38">
            <v>-5.3045067787200004</v>
          </cell>
          <cell r="F38">
            <v>28.69549322128</v>
          </cell>
          <cell r="Q38">
            <v>9.3184592573575017E-2</v>
          </cell>
          <cell r="T38">
            <v>-5.1334342959999999</v>
          </cell>
          <cell r="V38">
            <v>4.6584025828376019</v>
          </cell>
        </row>
        <row r="39">
          <cell r="C39">
            <v>-4.2826533317599997</v>
          </cell>
          <cell r="F39">
            <v>28.717346668240001</v>
          </cell>
          <cell r="Q39">
            <v>0.11790504896253982</v>
          </cell>
          <cell r="T39">
            <v>-4.1623115540000004</v>
          </cell>
          <cell r="V39">
            <v>4.866759128374686</v>
          </cell>
        </row>
        <row r="40">
          <cell r="C40">
            <v>-3.23690414429</v>
          </cell>
          <cell r="F40">
            <v>28.763095855709999</v>
          </cell>
          <cell r="Q40">
            <v>0.15000766275405131</v>
          </cell>
          <cell r="T40">
            <v>-3.1412200929999998</v>
          </cell>
          <cell r="V40">
            <v>4.0953860004117644</v>
          </cell>
        </row>
        <row r="41">
          <cell r="C41">
            <v>-2.2550766468000001</v>
          </cell>
          <cell r="F41">
            <v>28.744923353200001</v>
          </cell>
          <cell r="Q41">
            <v>0.18687590128110337</v>
          </cell>
          <cell r="T41">
            <v>-2.1170845030000001</v>
          </cell>
          <cell r="V41">
            <v>4.3041422921133137</v>
          </cell>
        </row>
        <row r="42">
          <cell r="C42">
            <v>-1.1553447246599999</v>
          </cell>
          <cell r="F42">
            <v>28.844655275339999</v>
          </cell>
          <cell r="Q42">
            <v>0.23923041185819702</v>
          </cell>
          <cell r="T42">
            <v>-1.1335353850000001</v>
          </cell>
          <cell r="V42">
            <v>4.1027117126167543</v>
          </cell>
        </row>
        <row r="43">
          <cell r="C43">
            <v>-0.25841918588000001</v>
          </cell>
          <cell r="F43">
            <v>28.741580814119999</v>
          </cell>
          <cell r="Q43">
            <v>0.29410019611485971</v>
          </cell>
          <cell r="T43">
            <v>-0.1782531738</v>
          </cell>
          <cell r="V43">
            <v>4.235632716838114</v>
          </cell>
        </row>
        <row r="44">
          <cell r="C44">
            <v>0.83637052773999998</v>
          </cell>
          <cell r="F44">
            <v>28.836370527740002</v>
          </cell>
          <cell r="Q44">
            <v>0.37784064014631452</v>
          </cell>
          <cell r="T44">
            <v>0.79393577579999997</v>
          </cell>
          <cell r="V44">
            <v>3.9592203834313864</v>
          </cell>
        </row>
        <row r="45">
          <cell r="C45">
            <v>1.8322471380200001</v>
          </cell>
          <cell r="F45">
            <v>28.832247138020001</v>
          </cell>
          <cell r="Q45">
            <v>0.47522118113514705</v>
          </cell>
          <cell r="T45">
            <v>1.7858619689999999</v>
          </cell>
          <cell r="V45">
            <v>3.9015822009873316</v>
          </cell>
        </row>
        <row r="46">
          <cell r="C46">
            <v>2.7284142971000001</v>
          </cell>
          <cell r="F46">
            <v>28.728414297099999</v>
          </cell>
          <cell r="Q46">
            <v>0.57780464443079793</v>
          </cell>
          <cell r="T46">
            <v>2.8106079099999999</v>
          </cell>
          <cell r="V46">
            <v>4.0678738897323994</v>
          </cell>
        </row>
        <row r="47">
          <cell r="C47">
            <v>3.7526330947900002</v>
          </cell>
          <cell r="F47">
            <v>28.752633094789999</v>
          </cell>
          <cell r="Q47">
            <v>0.73148622009097897</v>
          </cell>
          <cell r="T47">
            <v>3.7502403260000001</v>
          </cell>
          <cell r="V47">
            <v>4.0261174582776622</v>
          </cell>
        </row>
        <row r="48">
          <cell r="C48">
            <v>4.6303391456599998</v>
          </cell>
          <cell r="F48">
            <v>28.630339145659999</v>
          </cell>
          <cell r="Q48">
            <v>0.88978934503837015</v>
          </cell>
          <cell r="T48">
            <v>4.7487545009999996</v>
          </cell>
          <cell r="V48">
            <v>4.2910280639387661</v>
          </cell>
        </row>
        <row r="49">
          <cell r="C49">
            <v>5.6834959983799997</v>
          </cell>
          <cell r="F49">
            <v>28.68349599838</v>
          </cell>
          <cell r="Q49">
            <v>1.1270767432209572</v>
          </cell>
          <cell r="T49">
            <v>5.669536591</v>
          </cell>
          <cell r="V49">
            <v>4.1085754083936097</v>
          </cell>
        </row>
        <row r="50">
          <cell r="C50">
            <v>6.7454700470000004</v>
          </cell>
          <cell r="F50">
            <v>28.745470047000001</v>
          </cell>
          <cell r="Q50">
            <v>1.42198232763126</v>
          </cell>
          <cell r="T50">
            <v>6.639196396</v>
          </cell>
          <cell r="V50">
            <v>4.1383480886533413</v>
          </cell>
        </row>
        <row r="51">
          <cell r="C51">
            <v>7.6026015281700001</v>
          </cell>
          <cell r="F51">
            <v>28.602601528169998</v>
          </cell>
          <cell r="Q51">
            <v>1.7115356889346469</v>
          </cell>
          <cell r="T51">
            <v>7.6161193850000002</v>
          </cell>
          <cell r="V51">
            <v>4.2078154575305629</v>
          </cell>
        </row>
        <row r="52">
          <cell r="C52">
            <v>8.6132717132599996</v>
          </cell>
          <cell r="F52">
            <v>28.613271713259998</v>
          </cell>
          <cell r="Q52">
            <v>2.1314529829841327</v>
          </cell>
          <cell r="T52">
            <v>8.5979423520000005</v>
          </cell>
          <cell r="V52">
            <v>4.4347754443459984</v>
          </cell>
        </row>
        <row r="53">
          <cell r="C53">
            <v>9.5610523223899992</v>
          </cell>
          <cell r="F53">
            <v>28.561052322389997</v>
          </cell>
          <cell r="Q53">
            <v>2.6242463576005512</v>
          </cell>
          <cell r="T53">
            <v>9.4884128570000001</v>
          </cell>
          <cell r="V53">
            <v>4.6702379516233998</v>
          </cell>
        </row>
        <row r="54">
          <cell r="C54">
            <v>10.592337608299999</v>
          </cell>
          <cell r="F54">
            <v>28.592337608299999</v>
          </cell>
          <cell r="Q54">
            <v>3.247396201944122</v>
          </cell>
          <cell r="T54">
            <v>10.41021156</v>
          </cell>
          <cell r="V54">
            <v>4.8871650891383149</v>
          </cell>
        </row>
        <row r="55">
          <cell r="C55">
            <v>11.5260591507</v>
          </cell>
          <cell r="F55">
            <v>28.5260591507</v>
          </cell>
          <cell r="Q55">
            <v>3.9423349604904976</v>
          </cell>
          <cell r="T55">
            <v>11.37980842</v>
          </cell>
          <cell r="V55">
            <v>5.11269413591108</v>
          </cell>
        </row>
        <row r="56">
          <cell r="C56">
            <v>12.395614624</v>
          </cell>
          <cell r="F56">
            <v>28.395614624</v>
          </cell>
          <cell r="Q56">
            <v>4.6606668869328702</v>
          </cell>
          <cell r="T56">
            <v>12.27380943</v>
          </cell>
          <cell r="V56">
            <v>5.4857969484000693</v>
          </cell>
        </row>
        <row r="57">
          <cell r="C57">
            <v>13.346302032500001</v>
          </cell>
          <cell r="F57">
            <v>28.346302032499999</v>
          </cell>
          <cell r="Q57">
            <v>5.6227114005161463</v>
          </cell>
          <cell r="T57">
            <v>13.17403603</v>
          </cell>
          <cell r="V57">
            <v>5.8995501117980123</v>
          </cell>
        </row>
        <row r="58">
          <cell r="C58">
            <v>14.252453804</v>
          </cell>
          <cell r="F58">
            <v>28.252453803999998</v>
          </cell>
          <cell r="Q58">
            <v>6.6497754775377613</v>
          </cell>
          <cell r="T58">
            <v>14.051181789999999</v>
          </cell>
          <cell r="V58">
            <v>6.1901819670234284</v>
          </cell>
        </row>
        <row r="59">
          <cell r="C59">
            <v>15.146902084400001</v>
          </cell>
          <cell r="F59">
            <v>28.146902084400001</v>
          </cell>
          <cell r="Q59">
            <v>7.7717095008559003</v>
          </cell>
          <cell r="T59">
            <v>14.954734800000001</v>
          </cell>
          <cell r="V59">
            <v>7.0783024676342334</v>
          </cell>
        </row>
        <row r="60">
          <cell r="C60">
            <v>16.095096588099999</v>
          </cell>
          <cell r="F60">
            <v>28.095096588099999</v>
          </cell>
          <cell r="Q60">
            <v>9.1270274373185583</v>
          </cell>
          <cell r="T60">
            <v>15.85105705</v>
          </cell>
          <cell r="V60">
            <v>8.1277756242527719</v>
          </cell>
        </row>
        <row r="61">
          <cell r="C61">
            <v>17.008361816400001</v>
          </cell>
          <cell r="F61">
            <v>28.008361816400001</v>
          </cell>
          <cell r="Q61">
            <v>10.620883603979756</v>
          </cell>
          <cell r="T61">
            <v>16.68096542</v>
          </cell>
          <cell r="V61">
            <v>9.6083162635344088</v>
          </cell>
        </row>
        <row r="62">
          <cell r="C62">
            <v>17.7732181549</v>
          </cell>
          <cell r="F62">
            <v>27.7732181549</v>
          </cell>
          <cell r="Q62">
            <v>11.896431935178651</v>
          </cell>
          <cell r="T62">
            <v>17.395896910000001</v>
          </cell>
          <cell r="V62">
            <v>10.836461936883872</v>
          </cell>
        </row>
        <row r="63">
          <cell r="C63">
            <v>18.626888275100001</v>
          </cell>
          <cell r="F63">
            <v>27.626888275100001</v>
          </cell>
          <cell r="Q63">
            <v>13.516784896534162</v>
          </cell>
        </row>
        <row r="64">
          <cell r="C64">
            <v>19.305961608899999</v>
          </cell>
          <cell r="F64">
            <v>27.305961608899999</v>
          </cell>
          <cell r="Q64">
            <v>14.760515554634148</v>
          </cell>
        </row>
        <row r="65">
          <cell r="C65">
            <v>19.953901290899999</v>
          </cell>
          <cell r="F65">
            <v>26.953901290899999</v>
          </cell>
          <cell r="Q65">
            <v>16.02606920277497</v>
          </cell>
        </row>
        <row r="66">
          <cell r="C66">
            <v>20.509820938099999</v>
          </cell>
          <cell r="F66">
            <v>26.509820938099999</v>
          </cell>
          <cell r="Q66">
            <v>17.05367764171271</v>
          </cell>
        </row>
        <row r="67">
          <cell r="C67">
            <v>20.9364299774</v>
          </cell>
          <cell r="F67">
            <v>25.9364299774</v>
          </cell>
          <cell r="Q67">
            <v>17.707230110371412</v>
          </cell>
        </row>
        <row r="68">
          <cell r="C68">
            <v>21.351860046399999</v>
          </cell>
          <cell r="F68">
            <v>25.351860046399999</v>
          </cell>
          <cell r="Q68">
            <v>18.450513445344953</v>
          </cell>
        </row>
        <row r="69">
          <cell r="C69">
            <v>21.693857192999999</v>
          </cell>
          <cell r="F69">
            <v>24.693857192999999</v>
          </cell>
          <cell r="Q69">
            <v>19.029227511169637</v>
          </cell>
        </row>
        <row r="70">
          <cell r="C70">
            <v>21.934835434</v>
          </cell>
          <cell r="F70">
            <v>23.934835434</v>
          </cell>
          <cell r="Q70">
            <v>19.356199687321602</v>
          </cell>
        </row>
        <row r="71">
          <cell r="C71">
            <v>22.1554794312</v>
          </cell>
          <cell r="F71">
            <v>23.1554794312</v>
          </cell>
          <cell r="Q71">
            <v>19.527177994138267</v>
          </cell>
        </row>
        <row r="72">
          <cell r="C72">
            <v>22.308952331499999</v>
          </cell>
          <cell r="F72">
            <v>22.308952331499999</v>
          </cell>
          <cell r="Q72">
            <v>19.624707829173673</v>
          </cell>
        </row>
        <row r="73">
          <cell r="C73">
            <v>22.478055953999998</v>
          </cell>
          <cell r="F73">
            <v>21.478055953999998</v>
          </cell>
          <cell r="Q73">
            <v>19.697567103164289</v>
          </cell>
        </row>
        <row r="74">
          <cell r="C74">
            <v>22.600835800199999</v>
          </cell>
          <cell r="F74">
            <v>20.600835800199999</v>
          </cell>
          <cell r="Q74">
            <v>19.747191616184505</v>
          </cell>
        </row>
        <row r="75">
          <cell r="C75">
            <v>22.703289032000001</v>
          </cell>
          <cell r="F75">
            <v>19.703289032000001</v>
          </cell>
          <cell r="Q75">
            <v>19.623665523824208</v>
          </cell>
        </row>
        <row r="76">
          <cell r="C76">
            <v>22.7391738892</v>
          </cell>
          <cell r="F76">
            <v>18.7391738892</v>
          </cell>
          <cell r="Q76">
            <v>19.245683930887196</v>
          </cell>
        </row>
        <row r="77">
          <cell r="C77">
            <v>22.787826538099999</v>
          </cell>
          <cell r="F77">
            <v>17.787826538099999</v>
          </cell>
          <cell r="Q77">
            <v>18.968624245813899</v>
          </cell>
        </row>
        <row r="78">
          <cell r="C78">
            <v>22.837293624899999</v>
          </cell>
          <cell r="F78">
            <v>16.837293624899999</v>
          </cell>
          <cell r="Q78">
            <v>18.763600817499508</v>
          </cell>
        </row>
        <row r="79">
          <cell r="C79">
            <v>22.834270477299999</v>
          </cell>
          <cell r="F79">
            <v>15.834270477299999</v>
          </cell>
          <cell r="Q79">
            <v>18.286528802144772</v>
          </cell>
        </row>
        <row r="80">
          <cell r="C80">
            <v>22.8342285156</v>
          </cell>
          <cell r="F80">
            <v>14.8342285156</v>
          </cell>
          <cell r="Q80">
            <v>17.879790451389798</v>
          </cell>
        </row>
        <row r="81">
          <cell r="C81">
            <v>22.8512611389</v>
          </cell>
          <cell r="F81">
            <v>13.8512611389</v>
          </cell>
          <cell r="Q81">
            <v>17.525258577326063</v>
          </cell>
        </row>
        <row r="82">
          <cell r="C82">
            <v>22.807027816800002</v>
          </cell>
          <cell r="F82">
            <v>12.807027816800002</v>
          </cell>
          <cell r="Q82">
            <v>16.920490794204586</v>
          </cell>
        </row>
        <row r="90">
          <cell r="B90">
            <v>-70</v>
          </cell>
          <cell r="U90">
            <v>18.756910925470795</v>
          </cell>
          <cell r="W90">
            <v>-11.464824676499999</v>
          </cell>
        </row>
        <row r="91">
          <cell r="B91">
            <v>-69</v>
          </cell>
          <cell r="U91">
            <v>17.539850929739689</v>
          </cell>
          <cell r="W91">
            <v>-12.4013061523</v>
          </cell>
        </row>
        <row r="92">
          <cell r="B92">
            <v>-68</v>
          </cell>
          <cell r="U92">
            <v>16.498023827342507</v>
          </cell>
          <cell r="W92">
            <v>-13.3467903137</v>
          </cell>
        </row>
        <row r="93">
          <cell r="B93">
            <v>-67</v>
          </cell>
          <cell r="U93">
            <v>15.558898082740615</v>
          </cell>
          <cell r="W93">
            <v>-14.277805328399999</v>
          </cell>
        </row>
        <row r="94">
          <cell r="B94">
            <v>-66</v>
          </cell>
          <cell r="U94">
            <v>14.556313971406931</v>
          </cell>
          <cell r="W94">
            <v>-15.2799606323</v>
          </cell>
        </row>
        <row r="95">
          <cell r="B95">
            <v>-65</v>
          </cell>
          <cell r="U95">
            <v>13.519690776517409</v>
          </cell>
          <cell r="W95">
            <v>-16.266456603999998</v>
          </cell>
        </row>
        <row r="96">
          <cell r="B96">
            <v>-64</v>
          </cell>
          <cell r="U96">
            <v>12.531586537626357</v>
          </cell>
          <cell r="W96">
            <v>-17.273830413799999</v>
          </cell>
        </row>
        <row r="97">
          <cell r="B97">
            <v>-63</v>
          </cell>
          <cell r="U97">
            <v>11.466651343660624</v>
          </cell>
          <cell r="W97">
            <v>-18.249694824199999</v>
          </cell>
        </row>
        <row r="98">
          <cell r="B98">
            <v>-62</v>
          </cell>
          <cell r="U98">
            <v>10.941246221642832</v>
          </cell>
          <cell r="W98">
            <v>-19.1842193604</v>
          </cell>
        </row>
        <row r="99">
          <cell r="B99">
            <v>-61</v>
          </cell>
          <cell r="U99">
            <v>9.8493535373469179</v>
          </cell>
          <cell r="W99">
            <v>-20.164112091100002</v>
          </cell>
        </row>
        <row r="100">
          <cell r="B100">
            <v>-60</v>
          </cell>
          <cell r="U100">
            <v>8.805049615246304</v>
          </cell>
          <cell r="W100">
            <v>-21.198204040499999</v>
          </cell>
        </row>
        <row r="101">
          <cell r="B101">
            <v>-59</v>
          </cell>
          <cell r="U101">
            <v>8.355847207441057</v>
          </cell>
          <cell r="W101">
            <v>-22.182643890400001</v>
          </cell>
        </row>
        <row r="102">
          <cell r="B102">
            <v>-58</v>
          </cell>
          <cell r="U102">
            <v>7.5088255391328556</v>
          </cell>
          <cell r="W102">
            <v>-23.2004852295</v>
          </cell>
        </row>
        <row r="103">
          <cell r="B103">
            <v>-57</v>
          </cell>
          <cell r="U103">
            <v>6.7773577275460157</v>
          </cell>
          <cell r="W103">
            <v>-24.127887725800001</v>
          </cell>
        </row>
        <row r="104">
          <cell r="B104">
            <v>-56</v>
          </cell>
          <cell r="U104">
            <v>6.1636765462929946</v>
          </cell>
          <cell r="W104">
            <v>-25.117771148700001</v>
          </cell>
        </row>
        <row r="105">
          <cell r="B105">
            <v>-55</v>
          </cell>
          <cell r="U105">
            <v>5.4903446735543593</v>
          </cell>
          <cell r="W105">
            <v>-26.102506637600001</v>
          </cell>
        </row>
        <row r="106">
          <cell r="B106">
            <v>-54</v>
          </cell>
          <cell r="U106">
            <v>5.064892102376179</v>
          </cell>
          <cell r="W106">
            <v>-27.137058258100001</v>
          </cell>
        </row>
        <row r="107">
          <cell r="B107">
            <v>-53</v>
          </cell>
          <cell r="U107">
            <v>4.6265540957558002</v>
          </cell>
          <cell r="W107">
            <v>-28.090671539300001</v>
          </cell>
        </row>
        <row r="108">
          <cell r="B108">
            <v>-52</v>
          </cell>
          <cell r="U108">
            <v>4.3626664144506533</v>
          </cell>
          <cell r="W108">
            <v>-29.023468017599999</v>
          </cell>
        </row>
        <row r="109">
          <cell r="B109">
            <v>-51</v>
          </cell>
          <cell r="U109">
            <v>3.9399736424362946</v>
          </cell>
          <cell r="W109">
            <v>-30.022285461399999</v>
          </cell>
        </row>
        <row r="110">
          <cell r="B110">
            <v>-50</v>
          </cell>
          <cell r="U110">
            <v>3.6844970403267299</v>
          </cell>
          <cell r="W110">
            <v>-31.034637451199998</v>
          </cell>
        </row>
        <row r="111">
          <cell r="B111">
            <v>-49</v>
          </cell>
          <cell r="U111">
            <v>3.4858371255576488</v>
          </cell>
          <cell r="W111">
            <v>-32.03515625</v>
          </cell>
        </row>
        <row r="112">
          <cell r="B112">
            <v>-48</v>
          </cell>
          <cell r="U112">
            <v>3.3140804324398165</v>
          </cell>
          <cell r="W112">
            <v>-33.053216934200002</v>
          </cell>
        </row>
        <row r="113">
          <cell r="B113">
            <v>-47</v>
          </cell>
          <cell r="U113">
            <v>3.2119741506331922</v>
          </cell>
          <cell r="W113">
            <v>-33.924079894999998</v>
          </cell>
        </row>
        <row r="114">
          <cell r="B114">
            <v>-46</v>
          </cell>
          <cell r="U114">
            <v>3.167007344275568</v>
          </cell>
          <cell r="W114">
            <v>-34.964130401600002</v>
          </cell>
        </row>
        <row r="115">
          <cell r="B115">
            <v>-45</v>
          </cell>
          <cell r="U115">
            <v>3.0138801384691503</v>
          </cell>
          <cell r="W115">
            <v>-35.874809265099998</v>
          </cell>
        </row>
        <row r="116">
          <cell r="B116">
            <v>-44</v>
          </cell>
          <cell r="U116">
            <v>2.7582418493166894</v>
          </cell>
          <cell r="W116">
            <v>-36.780786514299997</v>
          </cell>
        </row>
        <row r="117">
          <cell r="B117">
            <v>-43</v>
          </cell>
          <cell r="U117">
            <v>2.8387658854298667</v>
          </cell>
          <cell r="W117">
            <v>-37.617090225200002</v>
          </cell>
        </row>
        <row r="118">
          <cell r="B118">
            <v>-42</v>
          </cell>
          <cell r="U118">
            <v>2.738413019861353</v>
          </cell>
          <cell r="W118">
            <v>-38.1731987</v>
          </cell>
        </row>
        <row r="119">
          <cell r="B119">
            <v>-41</v>
          </cell>
          <cell r="U119">
            <v>2.7433658585620386</v>
          </cell>
          <cell r="W119">
            <v>-38.883089065599997</v>
          </cell>
        </row>
        <row r="120">
          <cell r="B120">
            <v>-40</v>
          </cell>
          <cell r="U120">
            <v>2.770609149014684</v>
          </cell>
          <cell r="W120">
            <v>-39.080276489299997</v>
          </cell>
        </row>
        <row r="121">
          <cell r="B121">
            <v>-39</v>
          </cell>
          <cell r="U121">
            <v>2.9709460401804528</v>
          </cell>
          <cell r="W121">
            <v>-38.814848899799998</v>
          </cell>
        </row>
        <row r="122">
          <cell r="B122">
            <v>-38</v>
          </cell>
          <cell r="U122">
            <v>3.1903578396569245</v>
          </cell>
          <cell r="W122">
            <v>-38.022575378399999</v>
          </cell>
        </row>
        <row r="123">
          <cell r="B123">
            <v>-37</v>
          </cell>
          <cell r="U123">
            <v>3.5424382778738495</v>
          </cell>
          <cell r="W123">
            <v>-36.677041053799996</v>
          </cell>
        </row>
        <row r="124">
          <cell r="B124">
            <v>-36</v>
          </cell>
          <cell r="U124">
            <v>4.2322533312547099</v>
          </cell>
          <cell r="W124">
            <v>-35.0824508667</v>
          </cell>
        </row>
        <row r="125">
          <cell r="B125">
            <v>-35</v>
          </cell>
          <cell r="U125">
            <v>5.0057712193354327</v>
          </cell>
          <cell r="W125">
            <v>-33.239064216599999</v>
          </cell>
        </row>
        <row r="126">
          <cell r="B126">
            <v>-34</v>
          </cell>
          <cell r="U126">
            <v>6.1287381000344476</v>
          </cell>
          <cell r="W126">
            <v>-31.3496046066</v>
          </cell>
        </row>
        <row r="127">
          <cell r="B127">
            <v>-33</v>
          </cell>
          <cell r="U127">
            <v>7.4873450965279336</v>
          </cell>
          <cell r="W127">
            <v>-29.3767518997</v>
          </cell>
        </row>
        <row r="128">
          <cell r="B128">
            <v>-32</v>
          </cell>
          <cell r="U128">
            <v>9.2053433841844932</v>
          </cell>
          <cell r="W128">
            <v>-27.711405754099999</v>
          </cell>
        </row>
        <row r="129">
          <cell r="B129">
            <v>-31</v>
          </cell>
          <cell r="U129">
            <v>10.826022790126833</v>
          </cell>
          <cell r="W129">
            <v>-26.000259399400001</v>
          </cell>
        </row>
        <row r="130">
          <cell r="B130">
            <v>-30</v>
          </cell>
          <cell r="U130">
            <v>12.414286287859607</v>
          </cell>
          <cell r="W130">
            <v>-24.4243035316</v>
          </cell>
        </row>
        <row r="131">
          <cell r="B131">
            <v>-29</v>
          </cell>
          <cell r="U131">
            <v>13.752165366573227</v>
          </cell>
          <cell r="W131">
            <v>-23.103187560999999</v>
          </cell>
        </row>
        <row r="132">
          <cell r="B132">
            <v>-28</v>
          </cell>
          <cell r="U132">
            <v>14.861892889638861</v>
          </cell>
          <cell r="W132">
            <v>-21.810338020300001</v>
          </cell>
        </row>
        <row r="133">
          <cell r="B133">
            <v>-27</v>
          </cell>
          <cell r="U133">
            <v>15.809583929906957</v>
          </cell>
          <cell r="W133">
            <v>-20.785663604700002</v>
          </cell>
        </row>
        <row r="134">
          <cell r="B134">
            <v>-26</v>
          </cell>
          <cell r="U134">
            <v>16.730928394137553</v>
          </cell>
          <cell r="W134">
            <v>-19.725083827999999</v>
          </cell>
        </row>
        <row r="135">
          <cell r="B135">
            <v>-25</v>
          </cell>
          <cell r="U135">
            <v>17.565677601642854</v>
          </cell>
          <cell r="W135">
            <v>-18.877714157100002</v>
          </cell>
        </row>
        <row r="136">
          <cell r="B136">
            <v>-24</v>
          </cell>
          <cell r="U136">
            <v>18.354134567141617</v>
          </cell>
          <cell r="W136">
            <v>-18.159805774700001</v>
          </cell>
        </row>
        <row r="137">
          <cell r="B137">
            <v>-23</v>
          </cell>
          <cell r="U137">
            <v>19.117638712605185</v>
          </cell>
          <cell r="W137">
            <v>-17.465788841199998</v>
          </cell>
        </row>
        <row r="138">
          <cell r="B138">
            <v>-22</v>
          </cell>
          <cell r="U138">
            <v>19.786608665918287</v>
          </cell>
          <cell r="W138">
            <v>-16.9194531441</v>
          </cell>
        </row>
        <row r="139">
          <cell r="B139">
            <v>-21</v>
          </cell>
          <cell r="U139">
            <v>20.462463064351148</v>
          </cell>
          <cell r="W139">
            <v>-16.417784214000001</v>
          </cell>
        </row>
        <row r="140">
          <cell r="B140">
            <v>-20</v>
          </cell>
          <cell r="U140">
            <v>21.085863656721109</v>
          </cell>
          <cell r="W140">
            <v>-15.9709234238</v>
          </cell>
        </row>
      </sheetData>
      <sheetData sheetId="1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8B082-1A0B-4FE5-A1D3-39B5975C4A6B}">
  <sheetPr>
    <tabColor theme="7" tint="0.79998168889431442"/>
  </sheetPr>
  <dimension ref="A1:AG69"/>
  <sheetViews>
    <sheetView showGridLines="0" zoomScale="55" zoomScaleNormal="55" workbookViewId="0">
      <pane ySplit="2" topLeftCell="A3" activePane="bottomLeft" state="frozen"/>
      <selection activeCell="X24" sqref="X24"/>
      <selection pane="bottomLeft" activeCell="C15" sqref="C15"/>
    </sheetView>
  </sheetViews>
  <sheetFormatPr defaultRowHeight="18" x14ac:dyDescent="0.6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7" customWidth="1"/>
    <col min="27" max="16384" width="9" style="1"/>
  </cols>
  <sheetData>
    <row r="1" spans="1:33" ht="19.5" customHeight="1" x14ac:dyDescent="0.6">
      <c r="A1" s="52" t="s">
        <v>12</v>
      </c>
      <c r="B1" s="53" t="s">
        <v>23</v>
      </c>
      <c r="C1" s="54" t="s">
        <v>24</v>
      </c>
      <c r="D1" s="54" t="s">
        <v>25</v>
      </c>
      <c r="E1" s="54" t="s">
        <v>26</v>
      </c>
      <c r="F1" s="56" t="s">
        <v>4</v>
      </c>
      <c r="G1" s="56" t="s">
        <v>5</v>
      </c>
      <c r="H1" s="54" t="s">
        <v>21</v>
      </c>
      <c r="I1" s="54" t="s">
        <v>27</v>
      </c>
      <c r="J1" s="58" t="s">
        <v>28</v>
      </c>
      <c r="K1" s="57" t="s">
        <v>34</v>
      </c>
      <c r="L1" s="57"/>
      <c r="M1" s="57"/>
      <c r="N1" s="57" t="s">
        <v>0</v>
      </c>
      <c r="O1" s="57"/>
      <c r="P1" s="57"/>
      <c r="Q1" s="57" t="s">
        <v>1</v>
      </c>
      <c r="R1" s="57"/>
      <c r="S1" s="57"/>
      <c r="T1" s="57" t="s">
        <v>2</v>
      </c>
      <c r="U1" s="57"/>
      <c r="V1" s="57"/>
      <c r="W1" s="57" t="s">
        <v>35</v>
      </c>
      <c r="X1" s="57"/>
      <c r="Y1" s="57"/>
      <c r="Z1" s="73" t="s">
        <v>29</v>
      </c>
      <c r="AC1" s="49">
        <v>0</v>
      </c>
      <c r="AD1" s="49">
        <v>1</v>
      </c>
      <c r="AF1" s="49">
        <v>0</v>
      </c>
      <c r="AG1" s="49">
        <v>1</v>
      </c>
    </row>
    <row r="2" spans="1:33" s="2" customFormat="1" ht="19.5" customHeight="1" x14ac:dyDescent="0.6">
      <c r="A2" s="52"/>
      <c r="B2" s="53"/>
      <c r="C2" s="54"/>
      <c r="D2" s="54"/>
      <c r="E2" s="54"/>
      <c r="F2" s="56"/>
      <c r="G2" s="56"/>
      <c r="H2" s="54"/>
      <c r="I2" s="54"/>
      <c r="J2" s="59"/>
      <c r="K2" s="20" t="s">
        <v>3</v>
      </c>
      <c r="L2" s="20" t="s">
        <v>7</v>
      </c>
      <c r="M2" s="20" t="s">
        <v>6</v>
      </c>
      <c r="N2" s="20" t="s">
        <v>3</v>
      </c>
      <c r="O2" s="20" t="s">
        <v>7</v>
      </c>
      <c r="P2" s="20" t="s">
        <v>8</v>
      </c>
      <c r="Q2" s="20" t="s">
        <v>3</v>
      </c>
      <c r="R2" s="20" t="s">
        <v>7</v>
      </c>
      <c r="S2" s="20" t="s">
        <v>9</v>
      </c>
      <c r="T2" s="20" t="s">
        <v>3</v>
      </c>
      <c r="U2" s="20" t="s">
        <v>7</v>
      </c>
      <c r="V2" s="20" t="s">
        <v>10</v>
      </c>
      <c r="W2" s="20" t="s">
        <v>3</v>
      </c>
      <c r="X2" s="20" t="s">
        <v>7</v>
      </c>
      <c r="Y2" s="20" t="s">
        <v>11</v>
      </c>
      <c r="Z2" s="74"/>
      <c r="AC2" s="47">
        <v>34.960245743366769</v>
      </c>
      <c r="AD2" s="47">
        <v>-37.969069147072098</v>
      </c>
      <c r="AF2" s="47">
        <v>34.698767867533967</v>
      </c>
      <c r="AG2" s="47">
        <v>-38.333712107468642</v>
      </c>
    </row>
    <row r="3" spans="1:33" x14ac:dyDescent="0.7">
      <c r="A3" s="8">
        <v>0</v>
      </c>
      <c r="B3" s="9">
        <v>19000</v>
      </c>
      <c r="C3" s="10">
        <v>-54.020450186761437</v>
      </c>
      <c r="D3" s="10">
        <f>C3+E3</f>
        <v>-19.283268843394666</v>
      </c>
      <c r="E3" s="10">
        <v>34.737181343366771</v>
      </c>
      <c r="F3" s="11" t="s">
        <v>14</v>
      </c>
      <c r="G3" s="11" t="s">
        <v>17</v>
      </c>
      <c r="H3" s="11"/>
      <c r="I3" s="10"/>
      <c r="J3" s="12"/>
      <c r="K3" s="13">
        <v>1.4999260000000001</v>
      </c>
      <c r="L3" s="13">
        <v>2.5894E-2</v>
      </c>
      <c r="M3" s="13">
        <f>K3*L3</f>
        <v>3.8839083844000005E-2</v>
      </c>
      <c r="N3" s="13">
        <v>1.8007169999999999</v>
      </c>
      <c r="O3" s="13">
        <v>1.2110000000000001E-3</v>
      </c>
      <c r="P3" s="13">
        <f t="shared" ref="P3:P67" si="0">N3*O3</f>
        <v>2.1806682869999999E-3</v>
      </c>
      <c r="Q3" s="13">
        <v>0.99804300000000001</v>
      </c>
      <c r="R3" s="13">
        <v>2.8170000000000001E-3</v>
      </c>
      <c r="S3" s="13">
        <f>Q3*R3</f>
        <v>2.811487131E-3</v>
      </c>
      <c r="T3" s="13">
        <v>1.7998130000000001</v>
      </c>
      <c r="U3" s="13">
        <v>5.6369999999999996E-3</v>
      </c>
      <c r="V3" s="13">
        <f t="shared" ref="V3:V67" si="1">T3*U3</f>
        <v>1.0145545880999999E-2</v>
      </c>
      <c r="W3" s="13">
        <v>0.99888600000000005</v>
      </c>
      <c r="X3" s="13">
        <v>3.4632000000000003E-2</v>
      </c>
      <c r="Y3" s="13">
        <f t="shared" ref="Y3:Y67" si="2">W3*X3</f>
        <v>3.4593419952000007E-2</v>
      </c>
      <c r="Z3" s="14">
        <f t="shared" ref="Z3:Z67" si="3">M3+P3+S3+V3+Y3</f>
        <v>8.8570205095000007E-2</v>
      </c>
    </row>
    <row r="4" spans="1:33" x14ac:dyDescent="0.7">
      <c r="A4" s="8">
        <v>1</v>
      </c>
      <c r="B4" s="9">
        <v>19000</v>
      </c>
      <c r="C4" s="10">
        <v>-52.020450186761437</v>
      </c>
      <c r="D4" s="10">
        <f t="shared" ref="D4:D35" si="4">C4+E4</f>
        <v>-17.076164643394669</v>
      </c>
      <c r="E4" s="10">
        <v>34.944285543366767</v>
      </c>
      <c r="F4" s="11" t="s">
        <v>14</v>
      </c>
      <c r="G4" s="11" t="s">
        <v>17</v>
      </c>
      <c r="H4" s="11"/>
      <c r="I4" s="10"/>
      <c r="J4" s="12"/>
      <c r="K4" s="13">
        <v>1.4999260000000001</v>
      </c>
      <c r="L4" s="13">
        <v>2.5937999999999999E-2</v>
      </c>
      <c r="M4" s="13">
        <f t="shared" ref="M4:M69" si="5">K4*L4</f>
        <v>3.8905080588000004E-2</v>
      </c>
      <c r="N4" s="13">
        <v>1.8007169999999999</v>
      </c>
      <c r="O4" s="13">
        <v>1.32E-3</v>
      </c>
      <c r="P4" s="13">
        <f t="shared" si="0"/>
        <v>2.37694644E-3</v>
      </c>
      <c r="Q4" s="13">
        <v>0.99804300000000001</v>
      </c>
      <c r="R4" s="13">
        <v>2.8149999999999998E-3</v>
      </c>
      <c r="S4" s="13">
        <f t="shared" ref="S4:S69" si="6">Q4*R4</f>
        <v>2.8094910449999997E-3</v>
      </c>
      <c r="T4" s="13">
        <v>1.8000130000000001</v>
      </c>
      <c r="U4" s="13">
        <v>5.6360000000000004E-3</v>
      </c>
      <c r="V4" s="13">
        <f t="shared" si="1"/>
        <v>1.0144873268000001E-2</v>
      </c>
      <c r="W4" s="13">
        <v>0.99888600000000005</v>
      </c>
      <c r="X4" s="13">
        <v>3.4632000000000003E-2</v>
      </c>
      <c r="Y4" s="13">
        <f t="shared" si="2"/>
        <v>3.4593419952000007E-2</v>
      </c>
      <c r="Z4" s="14">
        <f t="shared" si="3"/>
        <v>8.8829811293000022E-2</v>
      </c>
    </row>
    <row r="5" spans="1:33" x14ac:dyDescent="0.7">
      <c r="A5" s="8">
        <v>2</v>
      </c>
      <c r="B5" s="9">
        <v>19000</v>
      </c>
      <c r="C5" s="10">
        <v>-50.020450186761437</v>
      </c>
      <c r="D5" s="10">
        <f t="shared" si="4"/>
        <v>-15.044244243394679</v>
      </c>
      <c r="E5" s="10">
        <v>34.976205943366757</v>
      </c>
      <c r="F5" s="11" t="s">
        <v>13</v>
      </c>
      <c r="G5" s="11" t="s">
        <v>16</v>
      </c>
      <c r="H5" s="11"/>
      <c r="I5" s="10"/>
      <c r="J5" s="12"/>
      <c r="K5" s="13">
        <v>1.4999260000000001</v>
      </c>
      <c r="L5" s="13">
        <v>2.5961000000000001E-2</v>
      </c>
      <c r="M5" s="13">
        <f t="shared" si="5"/>
        <v>3.8939578886000005E-2</v>
      </c>
      <c r="N5" s="13">
        <v>1.8007169999999999</v>
      </c>
      <c r="O5" s="13">
        <v>1.3209999999999999E-3</v>
      </c>
      <c r="P5" s="13">
        <f t="shared" si="0"/>
        <v>2.3787471569999999E-3</v>
      </c>
      <c r="Q5" s="13">
        <v>0.99804300000000001</v>
      </c>
      <c r="R5" s="13">
        <v>2.8149999999999998E-3</v>
      </c>
      <c r="S5" s="13">
        <f t="shared" si="6"/>
        <v>2.8094910449999997E-3</v>
      </c>
      <c r="T5" s="13">
        <v>1.7998130000000001</v>
      </c>
      <c r="U5" s="13">
        <v>5.6389999999999999E-3</v>
      </c>
      <c r="V5" s="13">
        <f t="shared" si="1"/>
        <v>1.0149145507000001E-2</v>
      </c>
      <c r="W5" s="13">
        <v>0.99888600000000005</v>
      </c>
      <c r="X5" s="13">
        <v>3.4696999999999999E-2</v>
      </c>
      <c r="Y5" s="13">
        <f t="shared" si="2"/>
        <v>3.4658347542E-2</v>
      </c>
      <c r="Z5" s="14">
        <f t="shared" si="3"/>
        <v>8.8935310137000012E-2</v>
      </c>
    </row>
    <row r="6" spans="1:33" x14ac:dyDescent="0.7">
      <c r="A6" s="8">
        <v>3</v>
      </c>
      <c r="B6" s="9">
        <v>19000</v>
      </c>
      <c r="C6" s="10">
        <v>-48.020450186761437</v>
      </c>
      <c r="D6" s="10">
        <f t="shared" si="4"/>
        <v>-12.98583504339468</v>
      </c>
      <c r="E6" s="10">
        <v>35.034615143366757</v>
      </c>
      <c r="F6" s="11" t="s">
        <v>13</v>
      </c>
      <c r="G6" s="11" t="s">
        <v>16</v>
      </c>
      <c r="H6" s="11"/>
      <c r="I6" s="10"/>
      <c r="J6" s="12"/>
      <c r="K6" s="13">
        <v>1.4999260000000001</v>
      </c>
      <c r="L6" s="13">
        <v>2.5995999999999998E-2</v>
      </c>
      <c r="M6" s="13">
        <f t="shared" si="5"/>
        <v>3.8992076296000003E-2</v>
      </c>
      <c r="N6" s="13">
        <v>1.8007169999999999</v>
      </c>
      <c r="O6" s="13">
        <v>1.3209999999999999E-3</v>
      </c>
      <c r="P6" s="13">
        <f t="shared" si="0"/>
        <v>2.3787471569999999E-3</v>
      </c>
      <c r="Q6" s="13">
        <v>0.99804300000000001</v>
      </c>
      <c r="R6" s="13">
        <v>2.8149999999999998E-3</v>
      </c>
      <c r="S6" s="13">
        <f t="shared" si="6"/>
        <v>2.8094910449999997E-3</v>
      </c>
      <c r="T6" s="13">
        <v>1.7998130000000001</v>
      </c>
      <c r="U6" s="13">
        <v>5.6369999999999996E-3</v>
      </c>
      <c r="V6" s="13">
        <f t="shared" si="1"/>
        <v>1.0145545880999999E-2</v>
      </c>
      <c r="W6" s="13">
        <v>0.99888600000000005</v>
      </c>
      <c r="X6" s="13">
        <v>3.4632000000000003E-2</v>
      </c>
      <c r="Y6" s="13">
        <f t="shared" si="2"/>
        <v>3.4593419952000007E-2</v>
      </c>
      <c r="Z6" s="14">
        <f t="shared" si="3"/>
        <v>8.8919280331000008E-2</v>
      </c>
    </row>
    <row r="7" spans="1:33" x14ac:dyDescent="0.7">
      <c r="A7" s="8">
        <v>4</v>
      </c>
      <c r="B7" s="9">
        <v>19000</v>
      </c>
      <c r="C7" s="10">
        <v>-46.020450186761437</v>
      </c>
      <c r="D7" s="10">
        <f t="shared" si="4"/>
        <v>-10.993896043394663</v>
      </c>
      <c r="E7" s="10">
        <v>35.026554143366774</v>
      </c>
      <c r="F7" s="11" t="s">
        <v>13</v>
      </c>
      <c r="G7" s="11" t="s">
        <v>16</v>
      </c>
      <c r="H7" s="11"/>
      <c r="I7" s="10"/>
      <c r="J7" s="12"/>
      <c r="K7" s="13">
        <v>1.4999260000000001</v>
      </c>
      <c r="L7" s="13">
        <v>2.6044999999999999E-2</v>
      </c>
      <c r="M7" s="13">
        <f t="shared" si="5"/>
        <v>3.906557267E-2</v>
      </c>
      <c r="N7" s="13">
        <v>1.8007169999999999</v>
      </c>
      <c r="O7" s="13">
        <v>1.3209999999999999E-3</v>
      </c>
      <c r="P7" s="13">
        <f t="shared" si="0"/>
        <v>2.3787471569999999E-3</v>
      </c>
      <c r="Q7" s="13">
        <v>0.99804300000000001</v>
      </c>
      <c r="R7" s="13">
        <v>2.8149999999999998E-3</v>
      </c>
      <c r="S7" s="13">
        <f t="shared" si="6"/>
        <v>2.8094910449999997E-3</v>
      </c>
      <c r="T7" s="13">
        <v>1.7998130000000001</v>
      </c>
      <c r="U7" s="13">
        <v>5.6369999999999996E-3</v>
      </c>
      <c r="V7" s="13">
        <f t="shared" si="1"/>
        <v>1.0145545880999999E-2</v>
      </c>
      <c r="W7" s="13">
        <v>0.99888600000000005</v>
      </c>
      <c r="X7" s="13">
        <v>3.4632000000000003E-2</v>
      </c>
      <c r="Y7" s="13">
        <f t="shared" si="2"/>
        <v>3.4593419952000007E-2</v>
      </c>
      <c r="Z7" s="14">
        <f t="shared" si="3"/>
        <v>8.8992776704999998E-2</v>
      </c>
    </row>
    <row r="8" spans="1:33" x14ac:dyDescent="0.7">
      <c r="A8" s="8">
        <v>5</v>
      </c>
      <c r="B8" s="9">
        <v>19000</v>
      </c>
      <c r="C8" s="10">
        <v>-44.020450186761437</v>
      </c>
      <c r="D8" s="10">
        <f t="shared" si="4"/>
        <v>-9.0661010433946672</v>
      </c>
      <c r="E8" s="10">
        <v>34.95434914336677</v>
      </c>
      <c r="F8" s="11" t="s">
        <v>13</v>
      </c>
      <c r="G8" s="11" t="s">
        <v>16</v>
      </c>
      <c r="H8" s="11"/>
      <c r="I8" s="10"/>
      <c r="J8" s="12"/>
      <c r="K8" s="13">
        <v>1.4999260000000001</v>
      </c>
      <c r="L8" s="13">
        <v>2.613E-2</v>
      </c>
      <c r="M8" s="13">
        <f t="shared" si="5"/>
        <v>3.9193066380000002E-2</v>
      </c>
      <c r="N8" s="13">
        <v>1.8007169999999999</v>
      </c>
      <c r="O8" s="13">
        <v>1.3209999999999999E-3</v>
      </c>
      <c r="P8" s="13">
        <f t="shared" si="0"/>
        <v>2.3787471569999999E-3</v>
      </c>
      <c r="Q8" s="13">
        <v>0.99804300000000001</v>
      </c>
      <c r="R8" s="13">
        <v>2.8140000000000001E-3</v>
      </c>
      <c r="S8" s="13">
        <f t="shared" si="6"/>
        <v>2.808493002E-3</v>
      </c>
      <c r="T8" s="13">
        <v>1.7998130000000001</v>
      </c>
      <c r="U8" s="13">
        <v>5.6360000000000004E-3</v>
      </c>
      <c r="V8" s="13">
        <f t="shared" si="1"/>
        <v>1.0143746068000002E-2</v>
      </c>
      <c r="W8" s="13">
        <v>0.99888600000000005</v>
      </c>
      <c r="X8" s="13">
        <v>3.4696999999999999E-2</v>
      </c>
      <c r="Y8" s="13">
        <f t="shared" si="2"/>
        <v>3.4658347542E-2</v>
      </c>
      <c r="Z8" s="14">
        <f t="shared" si="3"/>
        <v>8.9182400149000002E-2</v>
      </c>
    </row>
    <row r="9" spans="1:33" x14ac:dyDescent="0.7">
      <c r="A9" s="8">
        <v>6</v>
      </c>
      <c r="B9" s="9">
        <v>19000</v>
      </c>
      <c r="C9" s="10">
        <v>-42.020450186761437</v>
      </c>
      <c r="D9" s="10">
        <f t="shared" si="4"/>
        <v>-7.2178571433946672</v>
      </c>
      <c r="E9" s="10">
        <v>34.80259304336677</v>
      </c>
      <c r="F9" s="11" t="s">
        <v>13</v>
      </c>
      <c r="G9" s="11" t="s">
        <v>16</v>
      </c>
      <c r="H9" s="11"/>
      <c r="I9" s="10"/>
      <c r="J9" s="12"/>
      <c r="K9" s="13">
        <v>1.4999260000000001</v>
      </c>
      <c r="L9" s="13">
        <v>2.6252999999999999E-2</v>
      </c>
      <c r="M9" s="13">
        <f t="shared" si="5"/>
        <v>3.9377557277999999E-2</v>
      </c>
      <c r="N9" s="13">
        <v>1.8007169999999999</v>
      </c>
      <c r="O9" s="13">
        <v>1.32E-3</v>
      </c>
      <c r="P9" s="13">
        <f t="shared" si="0"/>
        <v>2.37694644E-3</v>
      </c>
      <c r="Q9" s="13">
        <v>0.99804300000000001</v>
      </c>
      <c r="R9" s="13">
        <v>2.8149999999999998E-3</v>
      </c>
      <c r="S9" s="13">
        <f t="shared" si="6"/>
        <v>2.8094910449999997E-3</v>
      </c>
      <c r="T9" s="13">
        <v>1.7998130000000001</v>
      </c>
      <c r="U9" s="13">
        <v>5.6299999999999996E-3</v>
      </c>
      <c r="V9" s="13">
        <f t="shared" si="1"/>
        <v>1.013294719E-2</v>
      </c>
      <c r="W9" s="13">
        <v>0.99888600000000005</v>
      </c>
      <c r="X9" s="13">
        <v>3.4696999999999999E-2</v>
      </c>
      <c r="Y9" s="13">
        <f t="shared" si="2"/>
        <v>3.4658347542E-2</v>
      </c>
      <c r="Z9" s="14">
        <f t="shared" si="3"/>
        <v>8.935528949499999E-2</v>
      </c>
    </row>
    <row r="10" spans="1:33" x14ac:dyDescent="0.7">
      <c r="A10" s="8">
        <v>7</v>
      </c>
      <c r="B10" s="9">
        <v>19000</v>
      </c>
      <c r="C10" s="10">
        <v>-40.020450186761437</v>
      </c>
      <c r="D10" s="10">
        <f t="shared" si="4"/>
        <v>-5.5039309433946642</v>
      </c>
      <c r="E10" s="10">
        <v>34.516519243366773</v>
      </c>
      <c r="F10" s="11" t="s">
        <v>13</v>
      </c>
      <c r="G10" s="11" t="s">
        <v>16</v>
      </c>
      <c r="H10" s="11"/>
      <c r="I10" s="10"/>
      <c r="J10" s="12"/>
      <c r="K10" s="13">
        <v>1.4999260000000001</v>
      </c>
      <c r="L10" s="13">
        <v>2.6428E-2</v>
      </c>
      <c r="M10" s="13">
        <f t="shared" si="5"/>
        <v>3.9640044328000001E-2</v>
      </c>
      <c r="N10" s="13">
        <v>1.8007169999999999</v>
      </c>
      <c r="O10" s="13">
        <v>1.32E-3</v>
      </c>
      <c r="P10" s="13">
        <f t="shared" si="0"/>
        <v>2.37694644E-3</v>
      </c>
      <c r="Q10" s="13">
        <v>0.99804300000000001</v>
      </c>
      <c r="R10" s="13">
        <v>2.8149999999999998E-3</v>
      </c>
      <c r="S10" s="13">
        <f t="shared" si="6"/>
        <v>2.8094910449999997E-3</v>
      </c>
      <c r="T10" s="13">
        <v>1.7998130000000001</v>
      </c>
      <c r="U10" s="13">
        <v>5.6249999999999998E-3</v>
      </c>
      <c r="V10" s="13">
        <f t="shared" si="1"/>
        <v>1.0123948125000001E-2</v>
      </c>
      <c r="W10" s="13">
        <v>0.99888600000000005</v>
      </c>
      <c r="X10" s="13">
        <v>3.4696999999999999E-2</v>
      </c>
      <c r="Y10" s="13">
        <f t="shared" si="2"/>
        <v>3.4658347542E-2</v>
      </c>
      <c r="Z10" s="14">
        <f t="shared" si="3"/>
        <v>8.9608777480000013E-2</v>
      </c>
    </row>
    <row r="11" spans="1:33" x14ac:dyDescent="0.7">
      <c r="A11" s="32">
        <v>8</v>
      </c>
      <c r="B11" s="33">
        <v>19000</v>
      </c>
      <c r="C11" s="34">
        <v>-38.020450186761437</v>
      </c>
      <c r="D11" s="34">
        <f t="shared" si="4"/>
        <v>-4.0371674433946652</v>
      </c>
      <c r="E11" s="34">
        <v>33.983282743366772</v>
      </c>
      <c r="F11" s="35" t="s">
        <v>13</v>
      </c>
      <c r="G11" s="35" t="s">
        <v>16</v>
      </c>
      <c r="H11" s="36" t="s">
        <v>38</v>
      </c>
      <c r="I11" s="34"/>
      <c r="J11" s="37"/>
      <c r="K11" s="38">
        <v>1.4999260000000001</v>
      </c>
      <c r="L11" s="38">
        <v>2.6662000000000002E-2</v>
      </c>
      <c r="M11" s="38">
        <f t="shared" si="5"/>
        <v>3.9991027012000004E-2</v>
      </c>
      <c r="N11" s="38">
        <v>1.8007169999999999</v>
      </c>
      <c r="O11" s="38">
        <v>1.3209999999999999E-3</v>
      </c>
      <c r="P11" s="38">
        <f t="shared" si="0"/>
        <v>2.3787471569999999E-3</v>
      </c>
      <c r="Q11" s="38">
        <v>0.99804300000000001</v>
      </c>
      <c r="R11" s="38">
        <v>2.8140000000000001E-3</v>
      </c>
      <c r="S11" s="38">
        <f t="shared" si="6"/>
        <v>2.808493002E-3</v>
      </c>
      <c r="T11" s="38">
        <v>1.7998130000000001</v>
      </c>
      <c r="U11" s="38">
        <v>5.6290000000000003E-3</v>
      </c>
      <c r="V11" s="38">
        <f t="shared" si="1"/>
        <v>1.0131147377000001E-2</v>
      </c>
      <c r="W11" s="38">
        <v>0.99888600000000005</v>
      </c>
      <c r="X11" s="38">
        <v>3.4632000000000003E-2</v>
      </c>
      <c r="Y11" s="38">
        <f t="shared" si="2"/>
        <v>3.4593419952000007E-2</v>
      </c>
      <c r="Z11" s="39">
        <f t="shared" si="3"/>
        <v>8.9902834500000001E-2</v>
      </c>
    </row>
    <row r="12" spans="1:33" x14ac:dyDescent="0.7">
      <c r="A12" s="8">
        <v>9</v>
      </c>
      <c r="B12" s="9">
        <v>19000</v>
      </c>
      <c r="C12" s="10">
        <v>-36.020450186761437</v>
      </c>
      <c r="D12" s="10">
        <f t="shared" si="4"/>
        <v>-2.9338795433946672</v>
      </c>
      <c r="E12" s="10">
        <v>33.08657064336677</v>
      </c>
      <c r="F12" s="11" t="s">
        <v>13</v>
      </c>
      <c r="G12" s="11" t="s">
        <v>16</v>
      </c>
      <c r="H12" s="11"/>
      <c r="I12" s="10"/>
      <c r="J12" s="12"/>
      <c r="K12" s="13">
        <v>1.4999260000000001</v>
      </c>
      <c r="L12" s="13">
        <v>2.6983E-2</v>
      </c>
      <c r="M12" s="13">
        <f t="shared" si="5"/>
        <v>4.0472503258000003E-2</v>
      </c>
      <c r="N12" s="13">
        <v>1.8007169999999999</v>
      </c>
      <c r="O12" s="13">
        <v>1.3209999999999999E-3</v>
      </c>
      <c r="P12" s="13">
        <f t="shared" si="0"/>
        <v>2.3787471569999999E-3</v>
      </c>
      <c r="Q12" s="13">
        <v>0.99804300000000001</v>
      </c>
      <c r="R12" s="13">
        <v>2.8149999999999998E-3</v>
      </c>
      <c r="S12" s="13">
        <f t="shared" si="6"/>
        <v>2.8094910449999997E-3</v>
      </c>
      <c r="T12" s="13">
        <v>1.7998130000000001</v>
      </c>
      <c r="U12" s="13">
        <v>5.6369999999999996E-3</v>
      </c>
      <c r="V12" s="13">
        <f t="shared" si="1"/>
        <v>1.0145545880999999E-2</v>
      </c>
      <c r="W12" s="13">
        <v>0.99888600000000005</v>
      </c>
      <c r="X12" s="13">
        <v>3.4696999999999999E-2</v>
      </c>
      <c r="Y12" s="13">
        <f t="shared" si="2"/>
        <v>3.4658347542E-2</v>
      </c>
      <c r="Z12" s="14">
        <f t="shared" si="3"/>
        <v>9.0464634882999995E-2</v>
      </c>
    </row>
    <row r="13" spans="1:33" x14ac:dyDescent="0.7">
      <c r="A13" s="8">
        <v>10</v>
      </c>
      <c r="B13" s="9">
        <v>19000</v>
      </c>
      <c r="C13" s="10">
        <v>-34.020450186761437</v>
      </c>
      <c r="D13" s="10">
        <f t="shared" si="4"/>
        <v>-2.3513915433946657</v>
      </c>
      <c r="E13" s="10">
        <v>31.669058643366771</v>
      </c>
      <c r="F13" s="11" t="s">
        <v>13</v>
      </c>
      <c r="G13" s="11" t="s">
        <v>16</v>
      </c>
      <c r="H13" s="11"/>
      <c r="I13" s="10"/>
      <c r="J13" s="12"/>
      <c r="K13" s="13">
        <v>1.4999260000000001</v>
      </c>
      <c r="L13" s="13">
        <v>2.7286000000000001E-2</v>
      </c>
      <c r="M13" s="13">
        <f t="shared" si="5"/>
        <v>4.0926980836000007E-2</v>
      </c>
      <c r="N13" s="13">
        <v>1.8007169999999999</v>
      </c>
      <c r="O13" s="13">
        <v>1.3209999999999999E-3</v>
      </c>
      <c r="P13" s="13">
        <f t="shared" si="0"/>
        <v>2.3787471569999999E-3</v>
      </c>
      <c r="Q13" s="13">
        <v>0.99804300000000001</v>
      </c>
      <c r="R13" s="13">
        <v>2.8140000000000001E-3</v>
      </c>
      <c r="S13" s="13">
        <f t="shared" si="6"/>
        <v>2.808493002E-3</v>
      </c>
      <c r="T13" s="13">
        <v>1.8000130000000001</v>
      </c>
      <c r="U13" s="13">
        <v>5.6369999999999996E-3</v>
      </c>
      <c r="V13" s="13">
        <f t="shared" si="1"/>
        <v>1.0146673280999999E-2</v>
      </c>
      <c r="W13" s="13">
        <v>0.99888600000000005</v>
      </c>
      <c r="X13" s="13">
        <v>3.4696999999999999E-2</v>
      </c>
      <c r="Y13" s="13">
        <f t="shared" si="2"/>
        <v>3.4658347542E-2</v>
      </c>
      <c r="Z13" s="14">
        <f t="shared" si="3"/>
        <v>9.0919241818000013E-2</v>
      </c>
    </row>
    <row r="14" spans="1:33" x14ac:dyDescent="0.7">
      <c r="A14" s="8">
        <v>11</v>
      </c>
      <c r="B14" s="9">
        <v>19000</v>
      </c>
      <c r="C14" s="10">
        <v>-33.020450186761437</v>
      </c>
      <c r="D14" s="10">
        <f t="shared" si="4"/>
        <v>-2.2556495433946679</v>
      </c>
      <c r="E14" s="10">
        <v>30.764800643366769</v>
      </c>
      <c r="F14" s="11" t="s">
        <v>13</v>
      </c>
      <c r="G14" s="11" t="s">
        <v>16</v>
      </c>
      <c r="H14" s="11"/>
      <c r="I14" s="10"/>
      <c r="J14" s="12"/>
      <c r="K14" s="13">
        <v>1.4999260000000001</v>
      </c>
      <c r="L14" s="13">
        <v>2.7431000000000001E-2</v>
      </c>
      <c r="M14" s="13">
        <f t="shared" si="5"/>
        <v>4.1144470106000003E-2</v>
      </c>
      <c r="N14" s="13">
        <v>1.8007169999999999</v>
      </c>
      <c r="O14" s="13">
        <v>1.3209999999999999E-3</v>
      </c>
      <c r="P14" s="13">
        <f t="shared" si="0"/>
        <v>2.3787471569999999E-3</v>
      </c>
      <c r="Q14" s="13">
        <v>0.99804300000000001</v>
      </c>
      <c r="R14" s="13">
        <v>2.8149999999999998E-3</v>
      </c>
      <c r="S14" s="13">
        <f t="shared" si="6"/>
        <v>2.8094910449999997E-3</v>
      </c>
      <c r="T14" s="13">
        <v>1.7998130000000001</v>
      </c>
      <c r="U14" s="13">
        <v>5.6299999999999996E-3</v>
      </c>
      <c r="V14" s="13">
        <f t="shared" si="1"/>
        <v>1.013294719E-2</v>
      </c>
      <c r="W14" s="13">
        <v>0.99888600000000005</v>
      </c>
      <c r="X14" s="13">
        <v>3.4696999999999999E-2</v>
      </c>
      <c r="Y14" s="13">
        <f t="shared" si="2"/>
        <v>3.4658347542E-2</v>
      </c>
      <c r="Z14" s="14">
        <f t="shared" si="3"/>
        <v>9.1124003039999998E-2</v>
      </c>
    </row>
    <row r="15" spans="1:33" x14ac:dyDescent="0.7">
      <c r="A15" s="8">
        <v>12</v>
      </c>
      <c r="B15" s="9">
        <v>19000</v>
      </c>
      <c r="C15" s="10">
        <v>-32.020450186761437</v>
      </c>
      <c r="D15" s="10">
        <f t="shared" si="4"/>
        <v>-2.2730987433946659</v>
      </c>
      <c r="E15" s="10">
        <v>29.747351443366771</v>
      </c>
      <c r="F15" s="11" t="s">
        <v>13</v>
      </c>
      <c r="G15" s="11" t="s">
        <v>16</v>
      </c>
      <c r="H15" s="11"/>
      <c r="I15" s="10"/>
      <c r="J15" s="12"/>
      <c r="K15" s="13">
        <v>1.4999260000000001</v>
      </c>
      <c r="L15" s="13">
        <v>2.7578999999999999E-2</v>
      </c>
      <c r="M15" s="13">
        <f t="shared" si="5"/>
        <v>4.1366459154000002E-2</v>
      </c>
      <c r="N15" s="13">
        <v>1.8007169999999999</v>
      </c>
      <c r="O15" s="13">
        <v>1.3209999999999999E-3</v>
      </c>
      <c r="P15" s="13">
        <f t="shared" si="0"/>
        <v>2.3787471569999999E-3</v>
      </c>
      <c r="Q15" s="13">
        <v>0.99804300000000001</v>
      </c>
      <c r="R15" s="13">
        <v>2.8140000000000001E-3</v>
      </c>
      <c r="S15" s="13">
        <f t="shared" si="6"/>
        <v>2.808493002E-3</v>
      </c>
      <c r="T15" s="13">
        <v>1.7998130000000001</v>
      </c>
      <c r="U15" s="13">
        <v>5.6319999999999999E-3</v>
      </c>
      <c r="V15" s="13">
        <f t="shared" si="1"/>
        <v>1.0136546816E-2</v>
      </c>
      <c r="W15" s="13">
        <v>0.99888600000000005</v>
      </c>
      <c r="X15" s="13">
        <v>3.4763000000000002E-2</v>
      </c>
      <c r="Y15" s="13">
        <f t="shared" si="2"/>
        <v>3.4724274018000004E-2</v>
      </c>
      <c r="Z15" s="14">
        <f t="shared" si="3"/>
        <v>9.1414520146999995E-2</v>
      </c>
    </row>
    <row r="16" spans="1:33" x14ac:dyDescent="0.7">
      <c r="A16" s="8">
        <v>13</v>
      </c>
      <c r="B16" s="9">
        <v>19000</v>
      </c>
      <c r="C16" s="10">
        <v>-31.02045018676144</v>
      </c>
      <c r="D16" s="10">
        <f t="shared" si="4"/>
        <v>-2.3869494433946699</v>
      </c>
      <c r="E16" s="10">
        <v>28.633500743366771</v>
      </c>
      <c r="F16" s="11" t="s">
        <v>13</v>
      </c>
      <c r="G16" s="11" t="s">
        <v>16</v>
      </c>
      <c r="H16" s="11"/>
      <c r="I16" s="10"/>
      <c r="J16" s="12"/>
      <c r="K16" s="13">
        <v>1.4999260000000001</v>
      </c>
      <c r="L16" s="13">
        <v>2.7747000000000001E-2</v>
      </c>
      <c r="M16" s="13">
        <f t="shared" si="5"/>
        <v>4.1618446722000005E-2</v>
      </c>
      <c r="N16" s="13">
        <v>1.8007169999999999</v>
      </c>
      <c r="O16" s="13">
        <v>1.3209999999999999E-3</v>
      </c>
      <c r="P16" s="13">
        <f t="shared" si="0"/>
        <v>2.3787471569999999E-3</v>
      </c>
      <c r="Q16" s="13">
        <v>0.99804300000000001</v>
      </c>
      <c r="R16" s="13">
        <v>2.8149999999999998E-3</v>
      </c>
      <c r="S16" s="13">
        <f t="shared" si="6"/>
        <v>2.8094910449999997E-3</v>
      </c>
      <c r="T16" s="13">
        <v>1.7998130000000001</v>
      </c>
      <c r="U16" s="13">
        <v>5.6410000000000002E-3</v>
      </c>
      <c r="V16" s="13">
        <f t="shared" si="1"/>
        <v>1.0152745133000001E-2</v>
      </c>
      <c r="W16" s="13">
        <v>0.99888600000000005</v>
      </c>
      <c r="X16" s="13">
        <v>3.4763000000000002E-2</v>
      </c>
      <c r="Y16" s="13">
        <f t="shared" si="2"/>
        <v>3.4724274018000004E-2</v>
      </c>
      <c r="Z16" s="14">
        <f t="shared" si="3"/>
        <v>9.1683704075000011E-2</v>
      </c>
    </row>
    <row r="17" spans="1:26" x14ac:dyDescent="0.7">
      <c r="A17" s="8">
        <v>14</v>
      </c>
      <c r="B17" s="9">
        <v>19000</v>
      </c>
      <c r="C17" s="10">
        <v>-30.02045018676144</v>
      </c>
      <c r="D17" s="10">
        <f t="shared" si="4"/>
        <v>-2.5582798433946792</v>
      </c>
      <c r="E17" s="10">
        <v>27.462170343366761</v>
      </c>
      <c r="F17" s="11" t="s">
        <v>13</v>
      </c>
      <c r="G17" s="11" t="s">
        <v>16</v>
      </c>
      <c r="H17" s="11"/>
      <c r="I17" s="10"/>
      <c r="J17" s="12"/>
      <c r="K17" s="13">
        <v>1.4999260000000001</v>
      </c>
      <c r="L17" s="13">
        <v>2.7921000000000001E-2</v>
      </c>
      <c r="M17" s="13">
        <f t="shared" si="5"/>
        <v>4.1879433846000007E-2</v>
      </c>
      <c r="N17" s="13">
        <v>1.8007169999999999</v>
      </c>
      <c r="O17" s="13">
        <v>1.32E-3</v>
      </c>
      <c r="P17" s="13">
        <f t="shared" si="0"/>
        <v>2.37694644E-3</v>
      </c>
      <c r="Q17" s="13">
        <v>0.99804300000000001</v>
      </c>
      <c r="R17" s="13">
        <v>2.8149999999999998E-3</v>
      </c>
      <c r="S17" s="13">
        <f t="shared" si="6"/>
        <v>2.8094910449999997E-3</v>
      </c>
      <c r="T17" s="13">
        <v>1.7998130000000001</v>
      </c>
      <c r="U17" s="13">
        <v>5.6369999999999996E-3</v>
      </c>
      <c r="V17" s="13">
        <f t="shared" si="1"/>
        <v>1.0145545880999999E-2</v>
      </c>
      <c r="W17" s="13">
        <v>0.99888600000000005</v>
      </c>
      <c r="X17" s="13">
        <v>3.4763000000000002E-2</v>
      </c>
      <c r="Y17" s="13">
        <f t="shared" si="2"/>
        <v>3.4724274018000004E-2</v>
      </c>
      <c r="Z17" s="14">
        <f t="shared" si="3"/>
        <v>9.1935691230000005E-2</v>
      </c>
    </row>
    <row r="18" spans="1:26" x14ac:dyDescent="0.7">
      <c r="A18" s="8">
        <v>15</v>
      </c>
      <c r="B18" s="9">
        <v>19000</v>
      </c>
      <c r="C18" s="10">
        <v>-29.02045018676144</v>
      </c>
      <c r="D18" s="10">
        <f t="shared" si="4"/>
        <v>-2.77574734339467</v>
      </c>
      <c r="E18" s="10">
        <v>26.24470284336677</v>
      </c>
      <c r="F18" s="11" t="s">
        <v>13</v>
      </c>
      <c r="G18" s="11" t="s">
        <v>16</v>
      </c>
      <c r="H18" s="11"/>
      <c r="I18" s="10"/>
      <c r="J18" s="12"/>
      <c r="K18" s="13">
        <v>1.4999260000000001</v>
      </c>
      <c r="L18" s="13">
        <v>2.8133999999999999E-2</v>
      </c>
      <c r="M18" s="13">
        <f t="shared" si="5"/>
        <v>4.2198918084000003E-2</v>
      </c>
      <c r="N18" s="13">
        <v>1.8007169999999999</v>
      </c>
      <c r="O18" s="13">
        <v>1.32E-3</v>
      </c>
      <c r="P18" s="13">
        <f t="shared" si="0"/>
        <v>2.37694644E-3</v>
      </c>
      <c r="Q18" s="13">
        <v>0.99804300000000001</v>
      </c>
      <c r="R18" s="13">
        <v>2.8149999999999998E-3</v>
      </c>
      <c r="S18" s="13">
        <f t="shared" si="6"/>
        <v>2.8094910449999997E-3</v>
      </c>
      <c r="T18" s="13">
        <v>1.7998130000000001</v>
      </c>
      <c r="U18" s="13">
        <v>5.6340000000000001E-3</v>
      </c>
      <c r="V18" s="13">
        <f t="shared" si="1"/>
        <v>1.0140146442E-2</v>
      </c>
      <c r="W18" s="13">
        <v>0.99888600000000005</v>
      </c>
      <c r="X18" s="13">
        <v>3.4763000000000002E-2</v>
      </c>
      <c r="Y18" s="13">
        <f t="shared" si="2"/>
        <v>3.4724274018000004E-2</v>
      </c>
      <c r="Z18" s="14">
        <f t="shared" si="3"/>
        <v>9.2249776029000002E-2</v>
      </c>
    </row>
    <row r="19" spans="1:26" x14ac:dyDescent="0.7">
      <c r="A19" s="8">
        <v>16</v>
      </c>
      <c r="B19" s="9">
        <v>19000</v>
      </c>
      <c r="C19" s="10">
        <v>-28.02045018676144</v>
      </c>
      <c r="D19" s="10">
        <f t="shared" si="4"/>
        <v>-3.0154543433946692</v>
      </c>
      <c r="E19" s="10">
        <v>25.004995843366771</v>
      </c>
      <c r="F19" s="11" t="s">
        <v>13</v>
      </c>
      <c r="G19" s="11" t="s">
        <v>16</v>
      </c>
      <c r="H19" s="11"/>
      <c r="I19" s="10"/>
      <c r="J19" s="12"/>
      <c r="K19" s="13">
        <v>1.4999260000000001</v>
      </c>
      <c r="L19" s="13">
        <v>2.8382999999999999E-2</v>
      </c>
      <c r="M19" s="13">
        <f t="shared" si="5"/>
        <v>4.2572399657999999E-2</v>
      </c>
      <c r="N19" s="13">
        <v>1.8007169999999999</v>
      </c>
      <c r="O19" s="13">
        <v>1.3209999999999999E-3</v>
      </c>
      <c r="P19" s="13">
        <f t="shared" si="0"/>
        <v>2.3787471569999999E-3</v>
      </c>
      <c r="Q19" s="13">
        <v>0.99804300000000001</v>
      </c>
      <c r="R19" s="13">
        <v>2.8140000000000001E-3</v>
      </c>
      <c r="S19" s="13">
        <f t="shared" si="6"/>
        <v>2.808493002E-3</v>
      </c>
      <c r="T19" s="13">
        <v>1.7998130000000001</v>
      </c>
      <c r="U19" s="13">
        <v>5.6340000000000001E-3</v>
      </c>
      <c r="V19" s="13">
        <f t="shared" si="1"/>
        <v>1.0140146442E-2</v>
      </c>
      <c r="W19" s="13">
        <v>0.99888600000000005</v>
      </c>
      <c r="X19" s="13">
        <v>3.4828999999999999E-2</v>
      </c>
      <c r="Y19" s="13">
        <f t="shared" si="2"/>
        <v>3.4790200494000001E-2</v>
      </c>
      <c r="Z19" s="14">
        <f t="shared" si="3"/>
        <v>9.2689986752999998E-2</v>
      </c>
    </row>
    <row r="20" spans="1:26" x14ac:dyDescent="0.7">
      <c r="A20" s="8">
        <v>17</v>
      </c>
      <c r="B20" s="9">
        <v>19000</v>
      </c>
      <c r="C20" s="10">
        <v>-27.02045018676144</v>
      </c>
      <c r="D20" s="10">
        <f t="shared" si="4"/>
        <v>-3.2566499433946703</v>
      </c>
      <c r="E20" s="10">
        <v>23.76380024336677</v>
      </c>
      <c r="F20" s="11" t="s">
        <v>13</v>
      </c>
      <c r="G20" s="11" t="s">
        <v>16</v>
      </c>
      <c r="H20" s="11"/>
      <c r="I20" s="10"/>
      <c r="J20" s="12"/>
      <c r="K20" s="13">
        <v>1.4999260000000001</v>
      </c>
      <c r="L20" s="13">
        <v>2.8686E-2</v>
      </c>
      <c r="M20" s="13">
        <f t="shared" si="5"/>
        <v>4.3026877236000002E-2</v>
      </c>
      <c r="N20" s="13">
        <v>1.8007169999999999</v>
      </c>
      <c r="O20" s="13">
        <v>1.32E-3</v>
      </c>
      <c r="P20" s="13">
        <f t="shared" si="0"/>
        <v>2.37694644E-3</v>
      </c>
      <c r="Q20" s="13">
        <v>0.99804300000000001</v>
      </c>
      <c r="R20" s="13">
        <v>2.8140000000000001E-3</v>
      </c>
      <c r="S20" s="13">
        <f t="shared" si="6"/>
        <v>2.808493002E-3</v>
      </c>
      <c r="T20" s="13">
        <v>1.8000130000000001</v>
      </c>
      <c r="U20" s="13">
        <v>5.6290000000000003E-3</v>
      </c>
      <c r="V20" s="13">
        <f t="shared" si="1"/>
        <v>1.0132273177E-2</v>
      </c>
      <c r="W20" s="13">
        <v>0.99888600000000005</v>
      </c>
      <c r="X20" s="13">
        <v>3.4763000000000002E-2</v>
      </c>
      <c r="Y20" s="13">
        <f t="shared" si="2"/>
        <v>3.4724274018000004E-2</v>
      </c>
      <c r="Z20" s="14">
        <f t="shared" si="3"/>
        <v>9.3068863873000007E-2</v>
      </c>
    </row>
    <row r="21" spans="1:26" x14ac:dyDescent="0.7">
      <c r="A21" s="8">
        <v>18</v>
      </c>
      <c r="B21" s="9">
        <v>19000</v>
      </c>
      <c r="C21" s="10">
        <v>-26.02045018676144</v>
      </c>
      <c r="D21" s="10">
        <f t="shared" si="4"/>
        <v>-3.4794076433946692</v>
      </c>
      <c r="E21" s="10">
        <v>22.541042543366771</v>
      </c>
      <c r="F21" s="11" t="s">
        <v>13</v>
      </c>
      <c r="G21" s="11" t="s">
        <v>16</v>
      </c>
      <c r="H21" s="11"/>
      <c r="I21" s="10"/>
      <c r="J21" s="12"/>
      <c r="K21" s="13">
        <v>1.4999260000000001</v>
      </c>
      <c r="L21" s="13">
        <v>2.9034000000000001E-2</v>
      </c>
      <c r="M21" s="13">
        <f t="shared" si="5"/>
        <v>4.3548851484000006E-2</v>
      </c>
      <c r="N21" s="13">
        <v>1.8007169999999999</v>
      </c>
      <c r="O21" s="13">
        <v>1.3209999999999999E-3</v>
      </c>
      <c r="P21" s="13">
        <f t="shared" si="0"/>
        <v>2.3787471569999999E-3</v>
      </c>
      <c r="Q21" s="13">
        <v>0.99804300000000001</v>
      </c>
      <c r="R21" s="13">
        <v>2.8140000000000001E-3</v>
      </c>
      <c r="S21" s="13">
        <f t="shared" si="6"/>
        <v>2.808493002E-3</v>
      </c>
      <c r="T21" s="13">
        <v>1.7998130000000001</v>
      </c>
      <c r="U21" s="13">
        <v>5.6299999999999996E-3</v>
      </c>
      <c r="V21" s="13">
        <f t="shared" si="1"/>
        <v>1.013294719E-2</v>
      </c>
      <c r="W21" s="13">
        <v>0.99888600000000005</v>
      </c>
      <c r="X21" s="13">
        <v>3.4763000000000002E-2</v>
      </c>
      <c r="Y21" s="13">
        <f t="shared" si="2"/>
        <v>3.4724274018000004E-2</v>
      </c>
      <c r="Z21" s="14">
        <f t="shared" si="3"/>
        <v>9.3593312851000005E-2</v>
      </c>
    </row>
    <row r="22" spans="1:26" x14ac:dyDescent="0.7">
      <c r="A22" s="8">
        <v>19</v>
      </c>
      <c r="B22" s="9">
        <v>19000</v>
      </c>
      <c r="C22" s="10">
        <v>-25.02045018676144</v>
      </c>
      <c r="D22" s="10">
        <f t="shared" si="4"/>
        <v>-3.6875599433946711</v>
      </c>
      <c r="E22" s="10">
        <v>21.332890243366769</v>
      </c>
      <c r="F22" s="11" t="s">
        <v>13</v>
      </c>
      <c r="G22" s="11" t="s">
        <v>16</v>
      </c>
      <c r="H22" s="11"/>
      <c r="I22" s="10"/>
      <c r="J22" s="12"/>
      <c r="K22" s="13">
        <v>1.4999260000000001</v>
      </c>
      <c r="L22" s="13">
        <v>2.9416000000000001E-2</v>
      </c>
      <c r="M22" s="13">
        <f t="shared" si="5"/>
        <v>4.4121823216000007E-2</v>
      </c>
      <c r="N22" s="13">
        <v>1.8007169999999999</v>
      </c>
      <c r="O22" s="13">
        <v>1.32E-3</v>
      </c>
      <c r="P22" s="13">
        <f t="shared" si="0"/>
        <v>2.37694644E-3</v>
      </c>
      <c r="Q22" s="13">
        <v>0.99804300000000001</v>
      </c>
      <c r="R22" s="13">
        <v>2.8140000000000001E-3</v>
      </c>
      <c r="S22" s="13">
        <f t="shared" si="6"/>
        <v>2.808493002E-3</v>
      </c>
      <c r="T22" s="13">
        <v>1.7998130000000001</v>
      </c>
      <c r="U22" s="13">
        <v>5.6340000000000001E-3</v>
      </c>
      <c r="V22" s="13">
        <f t="shared" si="1"/>
        <v>1.0140146442E-2</v>
      </c>
      <c r="W22" s="13">
        <v>0.99888600000000005</v>
      </c>
      <c r="X22" s="13">
        <v>3.4763000000000002E-2</v>
      </c>
      <c r="Y22" s="13">
        <f t="shared" si="2"/>
        <v>3.4724274018000004E-2</v>
      </c>
      <c r="Z22" s="14">
        <f t="shared" si="3"/>
        <v>9.4171683118000005E-2</v>
      </c>
    </row>
    <row r="23" spans="1:26" x14ac:dyDescent="0.7">
      <c r="A23" s="8">
        <v>20</v>
      </c>
      <c r="B23" s="9">
        <v>19000</v>
      </c>
      <c r="C23" s="10">
        <v>-24.02045018676144</v>
      </c>
      <c r="D23" s="10">
        <f t="shared" si="4"/>
        <v>-3.867469143394672</v>
      </c>
      <c r="E23" s="10">
        <v>20.152981043366768</v>
      </c>
      <c r="F23" s="11" t="s">
        <v>13</v>
      </c>
      <c r="G23" s="11" t="s">
        <v>16</v>
      </c>
      <c r="H23" s="11"/>
      <c r="I23" s="10"/>
      <c r="J23" s="12"/>
      <c r="K23" s="13">
        <v>1.4999260000000001</v>
      </c>
      <c r="L23" s="13">
        <v>2.9818000000000001E-2</v>
      </c>
      <c r="M23" s="13">
        <f t="shared" si="5"/>
        <v>4.4724793468000006E-2</v>
      </c>
      <c r="N23" s="13">
        <v>1.8007169999999999</v>
      </c>
      <c r="O23" s="13">
        <v>1.32E-3</v>
      </c>
      <c r="P23" s="13">
        <f t="shared" si="0"/>
        <v>2.37694644E-3</v>
      </c>
      <c r="Q23" s="13">
        <v>0.99804300000000001</v>
      </c>
      <c r="R23" s="13">
        <v>2.8140000000000001E-3</v>
      </c>
      <c r="S23" s="13">
        <f t="shared" si="6"/>
        <v>2.808493002E-3</v>
      </c>
      <c r="T23" s="13">
        <v>1.7998130000000001</v>
      </c>
      <c r="U23" s="13">
        <v>5.6360000000000004E-3</v>
      </c>
      <c r="V23" s="13">
        <f t="shared" si="1"/>
        <v>1.0143746068000002E-2</v>
      </c>
      <c r="W23" s="13">
        <v>0.99888600000000005</v>
      </c>
      <c r="X23" s="13">
        <v>3.4894000000000001E-2</v>
      </c>
      <c r="Y23" s="13">
        <f t="shared" si="2"/>
        <v>3.4855128084000001E-2</v>
      </c>
      <c r="Z23" s="14">
        <f t="shared" si="3"/>
        <v>9.4909107062000009E-2</v>
      </c>
    </row>
    <row r="24" spans="1:26" x14ac:dyDescent="0.7">
      <c r="A24" s="8">
        <v>21</v>
      </c>
      <c r="B24" s="9">
        <v>19000</v>
      </c>
      <c r="C24" s="10">
        <v>-23.02045018676144</v>
      </c>
      <c r="D24" s="10">
        <f t="shared" si="4"/>
        <v>-4.0026849433946694</v>
      </c>
      <c r="E24" s="10">
        <v>19.017765243366771</v>
      </c>
      <c r="F24" s="11" t="s">
        <v>13</v>
      </c>
      <c r="G24" s="11" t="s">
        <v>16</v>
      </c>
      <c r="H24" s="11"/>
      <c r="I24" s="10"/>
      <c r="J24" s="12"/>
      <c r="K24" s="13">
        <v>1.4999260000000001</v>
      </c>
      <c r="L24" s="13">
        <v>3.0164E-2</v>
      </c>
      <c r="M24" s="13">
        <f t="shared" si="5"/>
        <v>4.5243767864000001E-2</v>
      </c>
      <c r="N24" s="13">
        <v>1.8007169999999999</v>
      </c>
      <c r="O24" s="13">
        <v>1.3209999999999999E-3</v>
      </c>
      <c r="P24" s="13">
        <f t="shared" si="0"/>
        <v>2.3787471569999999E-3</v>
      </c>
      <c r="Q24" s="13">
        <v>0.99804300000000001</v>
      </c>
      <c r="R24" s="13">
        <v>2.8149999999999998E-3</v>
      </c>
      <c r="S24" s="13">
        <f t="shared" si="6"/>
        <v>2.8094910449999997E-3</v>
      </c>
      <c r="T24" s="13">
        <v>1.7998130000000001</v>
      </c>
      <c r="U24" s="13">
        <v>5.6290000000000003E-3</v>
      </c>
      <c r="V24" s="13">
        <f t="shared" si="1"/>
        <v>1.0131147377000001E-2</v>
      </c>
      <c r="W24" s="13">
        <v>0.99888600000000005</v>
      </c>
      <c r="X24" s="13">
        <v>3.4894000000000001E-2</v>
      </c>
      <c r="Y24" s="13">
        <f t="shared" si="2"/>
        <v>3.4855128084000001E-2</v>
      </c>
      <c r="Z24" s="14">
        <f t="shared" si="3"/>
        <v>9.5418281526999993E-2</v>
      </c>
    </row>
    <row r="25" spans="1:26" x14ac:dyDescent="0.7">
      <c r="A25" s="8">
        <v>22</v>
      </c>
      <c r="B25" s="9">
        <v>19000</v>
      </c>
      <c r="C25" s="10">
        <v>-22.02045018676144</v>
      </c>
      <c r="D25" s="10">
        <f t="shared" si="4"/>
        <v>-4.1204010433946721</v>
      </c>
      <c r="E25" s="10">
        <v>17.900049143366768</v>
      </c>
      <c r="F25" s="11" t="s">
        <v>13</v>
      </c>
      <c r="G25" s="11" t="s">
        <v>16</v>
      </c>
      <c r="H25" s="11"/>
      <c r="I25" s="10"/>
      <c r="J25" s="12"/>
      <c r="K25" s="13">
        <v>1.4999260000000001</v>
      </c>
      <c r="L25" s="13">
        <v>3.0654000000000001E-2</v>
      </c>
      <c r="M25" s="13">
        <f t="shared" si="5"/>
        <v>4.5978731604000005E-2</v>
      </c>
      <c r="N25" s="13">
        <v>1.8007169999999999</v>
      </c>
      <c r="O25" s="13">
        <v>1.32E-3</v>
      </c>
      <c r="P25" s="13">
        <f t="shared" si="0"/>
        <v>2.37694644E-3</v>
      </c>
      <c r="Q25" s="13">
        <v>0.99804300000000001</v>
      </c>
      <c r="R25" s="13">
        <v>2.8149999999999998E-3</v>
      </c>
      <c r="S25" s="13">
        <f t="shared" si="6"/>
        <v>2.8094910449999997E-3</v>
      </c>
      <c r="T25" s="13">
        <v>1.7998130000000001</v>
      </c>
      <c r="U25" s="13">
        <v>5.6360000000000004E-3</v>
      </c>
      <c r="V25" s="13">
        <f t="shared" si="1"/>
        <v>1.0143746068000002E-2</v>
      </c>
      <c r="W25" s="13">
        <v>0.99888600000000005</v>
      </c>
      <c r="X25" s="13">
        <v>3.4959999999999998E-2</v>
      </c>
      <c r="Y25" s="13">
        <f t="shared" si="2"/>
        <v>3.4921054559999998E-2</v>
      </c>
      <c r="Z25" s="14">
        <f t="shared" si="3"/>
        <v>9.6229969717000013E-2</v>
      </c>
    </row>
    <row r="26" spans="1:26" x14ac:dyDescent="0.7">
      <c r="A26" s="8">
        <v>23</v>
      </c>
      <c r="B26" s="9">
        <v>19000</v>
      </c>
      <c r="C26" s="10">
        <v>-21.02045018676144</v>
      </c>
      <c r="D26" s="10">
        <f t="shared" si="4"/>
        <v>-4.2084049433946689</v>
      </c>
      <c r="E26" s="10">
        <v>16.812045243366772</v>
      </c>
      <c r="F26" s="11" t="s">
        <v>13</v>
      </c>
      <c r="G26" s="11" t="s">
        <v>16</v>
      </c>
      <c r="H26" s="11"/>
      <c r="I26" s="10"/>
      <c r="J26" s="12"/>
      <c r="K26" s="13">
        <v>1.4999260000000001</v>
      </c>
      <c r="L26" s="13">
        <v>3.1144000000000002E-2</v>
      </c>
      <c r="M26" s="13">
        <f t="shared" si="5"/>
        <v>4.6713695344000009E-2</v>
      </c>
      <c r="N26" s="13">
        <v>1.8007169999999999</v>
      </c>
      <c r="O26" s="13">
        <v>1.3209999999999999E-3</v>
      </c>
      <c r="P26" s="13">
        <f t="shared" si="0"/>
        <v>2.3787471569999999E-3</v>
      </c>
      <c r="Q26" s="13">
        <v>0.99804300000000001</v>
      </c>
      <c r="R26" s="13">
        <v>2.8149999999999998E-3</v>
      </c>
      <c r="S26" s="13">
        <f t="shared" si="6"/>
        <v>2.8094910449999997E-3</v>
      </c>
      <c r="T26" s="13">
        <v>1.7998130000000001</v>
      </c>
      <c r="U26" s="13">
        <v>5.6299999999999996E-3</v>
      </c>
      <c r="V26" s="13">
        <f t="shared" si="1"/>
        <v>1.013294719E-2</v>
      </c>
      <c r="W26" s="13">
        <v>0.99888600000000005</v>
      </c>
      <c r="X26" s="13">
        <v>3.4959999999999998E-2</v>
      </c>
      <c r="Y26" s="13">
        <f t="shared" si="2"/>
        <v>3.4921054559999998E-2</v>
      </c>
      <c r="Z26" s="14">
        <f t="shared" si="3"/>
        <v>9.6955935295999995E-2</v>
      </c>
    </row>
    <row r="27" spans="1:26" x14ac:dyDescent="0.7">
      <c r="A27" s="8">
        <v>24</v>
      </c>
      <c r="B27" s="9">
        <v>19000</v>
      </c>
      <c r="C27" s="10">
        <v>-20.02045018676144</v>
      </c>
      <c r="D27" s="10">
        <f t="shared" si="4"/>
        <v>-4.2843147433946704</v>
      </c>
      <c r="E27" s="10">
        <v>15.73613544336677</v>
      </c>
      <c r="F27" s="11" t="s">
        <v>13</v>
      </c>
      <c r="G27" s="11" t="s">
        <v>16</v>
      </c>
      <c r="H27" s="11"/>
      <c r="I27" s="10"/>
      <c r="J27" s="12"/>
      <c r="K27" s="13">
        <v>1.4999260000000001</v>
      </c>
      <c r="L27" s="13">
        <v>3.1633000000000001E-2</v>
      </c>
      <c r="M27" s="13">
        <f t="shared" si="5"/>
        <v>4.7447159158000005E-2</v>
      </c>
      <c r="N27" s="13">
        <v>1.8007169999999999</v>
      </c>
      <c r="O27" s="13">
        <v>1.32E-3</v>
      </c>
      <c r="P27" s="13">
        <f t="shared" si="0"/>
        <v>2.37694644E-3</v>
      </c>
      <c r="Q27" s="13">
        <v>0.99804300000000001</v>
      </c>
      <c r="R27" s="13">
        <v>2.8149999999999998E-3</v>
      </c>
      <c r="S27" s="13">
        <f t="shared" si="6"/>
        <v>2.8094910449999997E-3</v>
      </c>
      <c r="T27" s="13">
        <v>1.7998130000000001</v>
      </c>
      <c r="U27" s="13">
        <v>5.6369999999999996E-3</v>
      </c>
      <c r="V27" s="13">
        <f t="shared" si="1"/>
        <v>1.0145545880999999E-2</v>
      </c>
      <c r="W27" s="13">
        <v>0.99888600000000005</v>
      </c>
      <c r="X27" s="13">
        <v>3.4959999999999998E-2</v>
      </c>
      <c r="Y27" s="13">
        <f t="shared" si="2"/>
        <v>3.4921054559999998E-2</v>
      </c>
      <c r="Z27" s="14">
        <f t="shared" si="3"/>
        <v>9.7700197084000004E-2</v>
      </c>
    </row>
    <row r="28" spans="1:26" x14ac:dyDescent="0.7">
      <c r="A28" s="8">
        <v>25</v>
      </c>
      <c r="B28" s="9">
        <v>19000</v>
      </c>
      <c r="C28" s="10">
        <v>-19.02045018676144</v>
      </c>
      <c r="D28" s="10">
        <f t="shared" si="4"/>
        <v>-4.3450817433946707</v>
      </c>
      <c r="E28" s="10">
        <v>14.67536844336677</v>
      </c>
      <c r="F28" s="11" t="s">
        <v>13</v>
      </c>
      <c r="G28" s="11" t="s">
        <v>16</v>
      </c>
      <c r="H28" s="11"/>
      <c r="I28" s="10"/>
      <c r="J28" s="12"/>
      <c r="K28" s="13">
        <v>1.4999260000000001</v>
      </c>
      <c r="L28" s="13">
        <v>3.2122999999999999E-2</v>
      </c>
      <c r="M28" s="13">
        <f t="shared" si="5"/>
        <v>4.8182122898000002E-2</v>
      </c>
      <c r="N28" s="13">
        <v>1.8007169999999999</v>
      </c>
      <c r="O28" s="13">
        <v>1.32E-3</v>
      </c>
      <c r="P28" s="13">
        <f t="shared" si="0"/>
        <v>2.37694644E-3</v>
      </c>
      <c r="Q28" s="13">
        <v>0.99804300000000001</v>
      </c>
      <c r="R28" s="13">
        <v>2.8149999999999998E-3</v>
      </c>
      <c r="S28" s="13">
        <f t="shared" si="6"/>
        <v>2.8094910449999997E-3</v>
      </c>
      <c r="T28" s="13">
        <v>1.8000130000000001</v>
      </c>
      <c r="U28" s="13">
        <v>5.6299999999999996E-3</v>
      </c>
      <c r="V28" s="13">
        <f t="shared" si="1"/>
        <v>1.013407319E-2</v>
      </c>
      <c r="W28" s="13">
        <v>0.99888600000000005</v>
      </c>
      <c r="X28" s="13">
        <v>3.5026000000000002E-2</v>
      </c>
      <c r="Y28" s="13">
        <f t="shared" si="2"/>
        <v>3.4986981036000002E-2</v>
      </c>
      <c r="Z28" s="14">
        <f t="shared" si="3"/>
        <v>9.8489614608999992E-2</v>
      </c>
    </row>
    <row r="29" spans="1:26" x14ac:dyDescent="0.7">
      <c r="A29" s="8">
        <v>26</v>
      </c>
      <c r="B29" s="9">
        <v>19000</v>
      </c>
      <c r="C29" s="10">
        <v>-18.02045018676144</v>
      </c>
      <c r="D29" s="10">
        <f t="shared" si="4"/>
        <v>-4.3924401433946709</v>
      </c>
      <c r="E29" s="10">
        <v>13.628010043366769</v>
      </c>
      <c r="F29" s="11" t="s">
        <v>13</v>
      </c>
      <c r="G29" s="11" t="s">
        <v>16</v>
      </c>
      <c r="H29" s="11"/>
      <c r="I29" s="10"/>
      <c r="J29" s="12"/>
      <c r="K29" s="13">
        <v>1.4999260000000001</v>
      </c>
      <c r="L29" s="13">
        <v>3.2939999999999997E-2</v>
      </c>
      <c r="M29" s="13">
        <f t="shared" si="5"/>
        <v>4.9407562439999997E-2</v>
      </c>
      <c r="N29" s="13">
        <v>1.799882</v>
      </c>
      <c r="O29" s="13">
        <v>1.3209999999999999E-3</v>
      </c>
      <c r="P29" s="13">
        <f t="shared" si="0"/>
        <v>2.3776441219999999E-3</v>
      </c>
      <c r="Q29" s="13">
        <v>0.99804300000000001</v>
      </c>
      <c r="R29" s="13">
        <v>2.8149999999999998E-3</v>
      </c>
      <c r="S29" s="13">
        <f t="shared" si="6"/>
        <v>2.8094910449999997E-3</v>
      </c>
      <c r="T29" s="13">
        <v>1.7998130000000001</v>
      </c>
      <c r="U29" s="13">
        <v>5.6340000000000001E-3</v>
      </c>
      <c r="V29" s="13">
        <f t="shared" si="1"/>
        <v>1.0140146442E-2</v>
      </c>
      <c r="W29" s="13">
        <v>0.99888600000000005</v>
      </c>
      <c r="X29" s="13">
        <v>3.5157000000000001E-2</v>
      </c>
      <c r="Y29" s="13">
        <f t="shared" si="2"/>
        <v>3.5117835102000006E-2</v>
      </c>
      <c r="Z29" s="14">
        <f t="shared" si="3"/>
        <v>9.9852679151000004E-2</v>
      </c>
    </row>
    <row r="30" spans="1:26" x14ac:dyDescent="0.7">
      <c r="A30" s="8">
        <v>27</v>
      </c>
      <c r="B30" s="9">
        <v>19000</v>
      </c>
      <c r="C30" s="10">
        <v>-17.021828766761441</v>
      </c>
      <c r="D30" s="10">
        <f t="shared" si="4"/>
        <v>-4.4252913433946706</v>
      </c>
      <c r="E30" s="10">
        <v>12.596537423366771</v>
      </c>
      <c r="F30" s="11" t="s">
        <v>13</v>
      </c>
      <c r="G30" s="11" t="s">
        <v>16</v>
      </c>
      <c r="H30" s="11"/>
      <c r="I30" s="10"/>
      <c r="J30" s="12"/>
      <c r="K30" s="13">
        <v>1.4999260000000001</v>
      </c>
      <c r="L30" s="13">
        <v>3.3918999999999998E-2</v>
      </c>
      <c r="M30" s="13">
        <f t="shared" si="5"/>
        <v>5.0875989993999997E-2</v>
      </c>
      <c r="N30" s="13">
        <v>1.8007169999999999</v>
      </c>
      <c r="O30" s="13">
        <v>1.32E-3</v>
      </c>
      <c r="P30" s="13">
        <f t="shared" si="0"/>
        <v>2.37694644E-3</v>
      </c>
      <c r="Q30" s="13">
        <v>0.99804300000000001</v>
      </c>
      <c r="R30" s="13">
        <v>2.8149999999999998E-3</v>
      </c>
      <c r="S30" s="13">
        <f t="shared" si="6"/>
        <v>2.8094910449999997E-3</v>
      </c>
      <c r="T30" s="13">
        <v>1.7998130000000001</v>
      </c>
      <c r="U30" s="13">
        <v>5.6290000000000003E-3</v>
      </c>
      <c r="V30" s="13">
        <f t="shared" si="1"/>
        <v>1.0131147377000001E-2</v>
      </c>
      <c r="W30" s="13">
        <v>0.99888600000000005</v>
      </c>
      <c r="X30" s="13">
        <v>3.5222999999999997E-2</v>
      </c>
      <c r="Y30" s="13">
        <f t="shared" si="2"/>
        <v>3.5183761577999996E-2</v>
      </c>
      <c r="Z30" s="14">
        <f t="shared" si="3"/>
        <v>0.10137733643399999</v>
      </c>
    </row>
    <row r="31" spans="1:26" x14ac:dyDescent="0.7">
      <c r="A31" s="8">
        <v>28</v>
      </c>
      <c r="B31" s="9">
        <v>19000</v>
      </c>
      <c r="C31" s="10">
        <v>-16.018493766761431</v>
      </c>
      <c r="D31" s="10">
        <f t="shared" si="4"/>
        <v>-4.4610259433946702</v>
      </c>
      <c r="E31" s="10">
        <v>11.55746782336676</v>
      </c>
      <c r="F31" s="11" t="s">
        <v>13</v>
      </c>
      <c r="G31" s="11" t="s">
        <v>16</v>
      </c>
      <c r="H31" s="11"/>
      <c r="I31" s="10"/>
      <c r="J31" s="12"/>
      <c r="K31" s="13">
        <v>1.4999260000000001</v>
      </c>
      <c r="L31" s="13">
        <v>3.4571999999999999E-2</v>
      </c>
      <c r="M31" s="13">
        <f t="shared" si="5"/>
        <v>5.1855441671999999E-2</v>
      </c>
      <c r="N31" s="13">
        <v>1.8007169999999999</v>
      </c>
      <c r="O31" s="13">
        <v>1.3209999999999999E-3</v>
      </c>
      <c r="P31" s="13">
        <f t="shared" si="0"/>
        <v>2.3787471569999999E-3</v>
      </c>
      <c r="Q31" s="13">
        <v>0.99804300000000001</v>
      </c>
      <c r="R31" s="13">
        <v>2.8149999999999998E-3</v>
      </c>
      <c r="S31" s="13">
        <f t="shared" si="6"/>
        <v>2.8094910449999997E-3</v>
      </c>
      <c r="T31" s="13">
        <v>1.7998130000000001</v>
      </c>
      <c r="U31" s="13">
        <v>5.6340000000000001E-3</v>
      </c>
      <c r="V31" s="13">
        <f t="shared" si="1"/>
        <v>1.0140146442E-2</v>
      </c>
      <c r="W31" s="13">
        <v>0.99888600000000005</v>
      </c>
      <c r="X31" s="13">
        <v>3.5222999999999997E-2</v>
      </c>
      <c r="Y31" s="13">
        <f t="shared" si="2"/>
        <v>3.5183761577999996E-2</v>
      </c>
      <c r="Z31" s="14">
        <f t="shared" si="3"/>
        <v>0.102367587894</v>
      </c>
    </row>
    <row r="32" spans="1:26" x14ac:dyDescent="0.7">
      <c r="A32" s="8">
        <v>29</v>
      </c>
      <c r="B32" s="9">
        <v>19000</v>
      </c>
      <c r="C32" s="10">
        <v>-15.020379966761441</v>
      </c>
      <c r="D32" s="10">
        <f t="shared" si="4"/>
        <v>-4.4770036433946814</v>
      </c>
      <c r="E32" s="10">
        <v>10.543376323366759</v>
      </c>
      <c r="F32" s="11" t="s">
        <v>13</v>
      </c>
      <c r="G32" s="11" t="s">
        <v>16</v>
      </c>
      <c r="H32" s="11"/>
      <c r="I32" s="10"/>
      <c r="J32" s="12"/>
      <c r="K32" s="13">
        <v>1.4999260000000001</v>
      </c>
      <c r="L32" s="13">
        <v>3.5388999999999997E-2</v>
      </c>
      <c r="M32" s="13">
        <f t="shared" si="5"/>
        <v>5.3080881214000002E-2</v>
      </c>
      <c r="N32" s="13">
        <v>1.8007169999999999</v>
      </c>
      <c r="O32" s="13">
        <v>1.3209999999999999E-3</v>
      </c>
      <c r="P32" s="13">
        <f t="shared" si="0"/>
        <v>2.3787471569999999E-3</v>
      </c>
      <c r="Q32" s="13">
        <v>0.99804300000000001</v>
      </c>
      <c r="R32" s="13">
        <v>2.8149999999999998E-3</v>
      </c>
      <c r="S32" s="13">
        <f t="shared" si="6"/>
        <v>2.8094910449999997E-3</v>
      </c>
      <c r="T32" s="13">
        <v>1.7998130000000001</v>
      </c>
      <c r="U32" s="13">
        <v>5.6340000000000001E-3</v>
      </c>
      <c r="V32" s="13">
        <f t="shared" si="1"/>
        <v>1.0140146442E-2</v>
      </c>
      <c r="W32" s="13">
        <v>0.99888600000000005</v>
      </c>
      <c r="X32" s="13">
        <v>3.5289000000000001E-2</v>
      </c>
      <c r="Y32" s="13">
        <f t="shared" si="2"/>
        <v>3.5249688054E-2</v>
      </c>
      <c r="Z32" s="14">
        <f t="shared" si="3"/>
        <v>0.103658953912</v>
      </c>
    </row>
    <row r="33" spans="1:26" x14ac:dyDescent="0.7">
      <c r="A33" s="8">
        <v>30</v>
      </c>
      <c r="B33" s="9">
        <v>19000</v>
      </c>
      <c r="C33" s="10">
        <v>-14.021508466761439</v>
      </c>
      <c r="D33" s="10">
        <f t="shared" si="4"/>
        <v>-4.476422043394674</v>
      </c>
      <c r="E33" s="10">
        <v>9.5450864233667652</v>
      </c>
      <c r="F33" s="11" t="s">
        <v>13</v>
      </c>
      <c r="G33" s="11" t="s">
        <v>16</v>
      </c>
      <c r="H33" s="11"/>
      <c r="I33" s="10"/>
      <c r="J33" s="12"/>
      <c r="K33" s="13">
        <v>1.4999260000000001</v>
      </c>
      <c r="L33" s="13">
        <v>3.6205000000000001E-2</v>
      </c>
      <c r="M33" s="13">
        <f t="shared" si="5"/>
        <v>5.4304820830000003E-2</v>
      </c>
      <c r="N33" s="13">
        <v>1.8007169999999999</v>
      </c>
      <c r="O33" s="13">
        <v>1.32E-3</v>
      </c>
      <c r="P33" s="13">
        <f t="shared" si="0"/>
        <v>2.37694644E-3</v>
      </c>
      <c r="Q33" s="13">
        <v>0.99804300000000001</v>
      </c>
      <c r="R33" s="13">
        <v>2.8149999999999998E-3</v>
      </c>
      <c r="S33" s="13">
        <f t="shared" si="6"/>
        <v>2.8094910449999997E-3</v>
      </c>
      <c r="T33" s="13">
        <v>1.7998130000000001</v>
      </c>
      <c r="U33" s="13">
        <v>5.6340000000000001E-3</v>
      </c>
      <c r="V33" s="13">
        <f t="shared" si="1"/>
        <v>1.0140146442E-2</v>
      </c>
      <c r="W33" s="13">
        <v>0.99888600000000005</v>
      </c>
      <c r="X33" s="13">
        <v>3.5289000000000001E-2</v>
      </c>
      <c r="Y33" s="13">
        <f t="shared" si="2"/>
        <v>3.5249688054E-2</v>
      </c>
      <c r="Z33" s="14">
        <f t="shared" si="3"/>
        <v>0.104881092811</v>
      </c>
    </row>
    <row r="34" spans="1:26" x14ac:dyDescent="0.7">
      <c r="A34" s="8">
        <v>31</v>
      </c>
      <c r="B34" s="9">
        <v>19000</v>
      </c>
      <c r="C34" s="10">
        <v>-13.020039966761439</v>
      </c>
      <c r="D34" s="10">
        <f t="shared" si="4"/>
        <v>-4.4756017433946731</v>
      </c>
      <c r="E34" s="10">
        <v>8.5444382233667664</v>
      </c>
      <c r="F34" s="11" t="s">
        <v>13</v>
      </c>
      <c r="G34" s="11" t="s">
        <v>16</v>
      </c>
      <c r="H34" s="11"/>
      <c r="I34" s="10"/>
      <c r="J34" s="12"/>
      <c r="K34" s="13">
        <v>1.4999260000000001</v>
      </c>
      <c r="L34" s="13">
        <v>3.6532000000000002E-2</v>
      </c>
      <c r="M34" s="13">
        <f t="shared" si="5"/>
        <v>5.4795296632000008E-2</v>
      </c>
      <c r="N34" s="13">
        <v>1.8007169999999999</v>
      </c>
      <c r="O34" s="13">
        <v>1.32E-3</v>
      </c>
      <c r="P34" s="13">
        <f t="shared" si="0"/>
        <v>2.37694644E-3</v>
      </c>
      <c r="Q34" s="13">
        <v>0.99804300000000001</v>
      </c>
      <c r="R34" s="13">
        <v>2.8149999999999998E-3</v>
      </c>
      <c r="S34" s="13">
        <f t="shared" si="6"/>
        <v>2.8094910449999997E-3</v>
      </c>
      <c r="T34" s="13">
        <v>1.8000130000000001</v>
      </c>
      <c r="U34" s="13">
        <v>5.6299999999999996E-3</v>
      </c>
      <c r="V34" s="13">
        <f t="shared" si="1"/>
        <v>1.013407319E-2</v>
      </c>
      <c r="W34" s="13">
        <v>0.99888600000000005</v>
      </c>
      <c r="X34" s="13">
        <v>3.5222999999999997E-2</v>
      </c>
      <c r="Y34" s="13">
        <f t="shared" si="2"/>
        <v>3.5183761577999996E-2</v>
      </c>
      <c r="Z34" s="14">
        <f t="shared" si="3"/>
        <v>0.105299568885</v>
      </c>
    </row>
    <row r="35" spans="1:26" x14ac:dyDescent="0.7">
      <c r="A35" s="8">
        <v>32</v>
      </c>
      <c r="B35" s="9">
        <v>19000</v>
      </c>
      <c r="C35" s="10">
        <v>-12.01370876676144</v>
      </c>
      <c r="D35" s="10">
        <f t="shared" si="4"/>
        <v>-3.4692705433946731</v>
      </c>
      <c r="E35" s="10">
        <v>8.5444382233667664</v>
      </c>
      <c r="F35" s="11" t="s">
        <v>15</v>
      </c>
      <c r="G35" s="11" t="s">
        <v>37</v>
      </c>
      <c r="H35" s="11"/>
      <c r="I35" s="10"/>
      <c r="J35" s="12"/>
      <c r="K35" s="13">
        <v>1.4999260000000001</v>
      </c>
      <c r="L35" s="13">
        <v>3.6532000000000002E-2</v>
      </c>
      <c r="M35" s="13">
        <f t="shared" ref="M35" si="7">K35*L35</f>
        <v>5.4795296632000008E-2</v>
      </c>
      <c r="N35" s="13">
        <v>1.8007169999999999</v>
      </c>
      <c r="O35" s="13">
        <v>1.32E-3</v>
      </c>
      <c r="P35" s="13">
        <f t="shared" ref="P35" si="8">N35*O35</f>
        <v>2.37694644E-3</v>
      </c>
      <c r="Q35" s="13">
        <v>0.99804300000000001</v>
      </c>
      <c r="R35" s="13">
        <v>2.8149999999999998E-3</v>
      </c>
      <c r="S35" s="13">
        <f t="shared" ref="S35" si="9">Q35*R35</f>
        <v>2.8094910449999997E-3</v>
      </c>
      <c r="T35" s="13">
        <v>1.8000130000000001</v>
      </c>
      <c r="U35" s="13">
        <v>5.6299999999999996E-3</v>
      </c>
      <c r="V35" s="13">
        <f t="shared" ref="V35" si="10">T35*U35</f>
        <v>1.013407319E-2</v>
      </c>
      <c r="W35" s="13">
        <v>0.99888600000000005</v>
      </c>
      <c r="X35" s="13">
        <v>3.5222999999999997E-2</v>
      </c>
      <c r="Y35" s="13">
        <f t="shared" ref="Y35" si="11">W35*X35</f>
        <v>3.5183761577999996E-2</v>
      </c>
      <c r="Z35" s="14">
        <f t="shared" ref="Z35" si="12">M35+P35+S35+V35+Y35</f>
        <v>0.105299568885</v>
      </c>
    </row>
    <row r="36" spans="1:26" s="28" customFormat="1" x14ac:dyDescent="0.7">
      <c r="A36" s="21"/>
      <c r="B36" s="22"/>
      <c r="C36" s="23"/>
      <c r="D36" s="23"/>
      <c r="E36" s="48"/>
      <c r="F36" s="24"/>
      <c r="G36" s="24"/>
      <c r="H36" s="24"/>
      <c r="I36" s="23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7"/>
    </row>
    <row r="37" spans="1:26" x14ac:dyDescent="0.7">
      <c r="A37" s="8">
        <v>0</v>
      </c>
      <c r="B37" s="9">
        <v>19000</v>
      </c>
      <c r="C37" s="15">
        <v>-53.651387410928642</v>
      </c>
      <c r="D37" s="15">
        <f>C37+E37</f>
        <v>-19.142963143394674</v>
      </c>
      <c r="E37" s="15">
        <v>34.508424267533968</v>
      </c>
      <c r="F37" s="12" t="s">
        <v>18</v>
      </c>
      <c r="G37" s="12" t="s">
        <v>20</v>
      </c>
      <c r="H37" s="12"/>
      <c r="I37" s="15"/>
      <c r="J37" s="12"/>
      <c r="K37" s="14">
        <v>1.4999260000000001</v>
      </c>
      <c r="L37" s="14">
        <v>2.5798000000000001E-2</v>
      </c>
      <c r="M37" s="13">
        <f t="shared" si="5"/>
        <v>3.8695090948000006E-2</v>
      </c>
      <c r="N37" s="14">
        <v>1.8007169999999999</v>
      </c>
      <c r="O37" s="14">
        <v>1.2130000000000001E-3</v>
      </c>
      <c r="P37" s="13">
        <f t="shared" si="0"/>
        <v>2.1842697210000001E-3</v>
      </c>
      <c r="Q37" s="14">
        <v>0.99804300000000001</v>
      </c>
      <c r="R37" s="14">
        <v>2.813E-3</v>
      </c>
      <c r="S37" s="13">
        <f t="shared" si="6"/>
        <v>2.8074949589999999E-3</v>
      </c>
      <c r="T37" s="14">
        <v>1.7998130000000001</v>
      </c>
      <c r="U37" s="14">
        <v>5.6290000000000003E-3</v>
      </c>
      <c r="V37" s="13">
        <f t="shared" si="1"/>
        <v>1.0131147377000001E-2</v>
      </c>
      <c r="W37" s="14">
        <v>0.99888600000000005</v>
      </c>
      <c r="X37" s="14">
        <v>3.4763000000000002E-2</v>
      </c>
      <c r="Y37" s="13">
        <f t="shared" si="2"/>
        <v>3.4724274018000004E-2</v>
      </c>
      <c r="Z37" s="14">
        <f t="shared" si="3"/>
        <v>8.8542277023000007E-2</v>
      </c>
    </row>
    <row r="38" spans="1:26" x14ac:dyDescent="0.7">
      <c r="A38" s="8">
        <v>1</v>
      </c>
      <c r="B38" s="9">
        <v>19000</v>
      </c>
      <c r="C38" s="15">
        <v>-51.651387410928642</v>
      </c>
      <c r="D38" s="15">
        <f t="shared" ref="D38:D68" si="13">C38+E38</f>
        <v>-16.991558843394671</v>
      </c>
      <c r="E38" s="15">
        <v>34.659828567533971</v>
      </c>
      <c r="F38" s="12" t="s">
        <v>18</v>
      </c>
      <c r="G38" s="12" t="s">
        <v>20</v>
      </c>
      <c r="H38" s="12"/>
      <c r="I38" s="15"/>
      <c r="J38" s="12"/>
      <c r="K38" s="14">
        <v>1.4999260000000001</v>
      </c>
      <c r="L38" s="14">
        <v>2.5832000000000001E-2</v>
      </c>
      <c r="M38" s="13">
        <f t="shared" si="5"/>
        <v>3.8746088432000003E-2</v>
      </c>
      <c r="N38" s="14">
        <v>1.8007169999999999</v>
      </c>
      <c r="O38" s="14">
        <v>1.323E-3</v>
      </c>
      <c r="P38" s="13">
        <f t="shared" si="0"/>
        <v>2.3823485909999997E-3</v>
      </c>
      <c r="Q38" s="14">
        <v>0.99804300000000001</v>
      </c>
      <c r="R38" s="14">
        <v>2.8110000000000001E-3</v>
      </c>
      <c r="S38" s="13">
        <f t="shared" si="6"/>
        <v>2.805498873E-3</v>
      </c>
      <c r="T38" s="14">
        <v>1.7998130000000001</v>
      </c>
      <c r="U38" s="14">
        <v>5.6299999999999996E-3</v>
      </c>
      <c r="V38" s="13">
        <f t="shared" si="1"/>
        <v>1.013294719E-2</v>
      </c>
      <c r="W38" s="14">
        <v>0.99888600000000005</v>
      </c>
      <c r="X38" s="14">
        <v>3.4763000000000002E-2</v>
      </c>
      <c r="Y38" s="13">
        <f t="shared" si="2"/>
        <v>3.4724274018000004E-2</v>
      </c>
      <c r="Z38" s="14">
        <f t="shared" si="3"/>
        <v>8.8791157104000012E-2</v>
      </c>
    </row>
    <row r="39" spans="1:26" x14ac:dyDescent="0.7">
      <c r="A39" s="8">
        <v>2</v>
      </c>
      <c r="B39" s="9">
        <v>19000</v>
      </c>
      <c r="C39" s="15">
        <v>-49.651387410928642</v>
      </c>
      <c r="D39" s="15">
        <f t="shared" si="13"/>
        <v>-14.913680243394673</v>
      </c>
      <c r="E39" s="15">
        <v>34.737707167533969</v>
      </c>
      <c r="F39" s="12" t="s">
        <v>15</v>
      </c>
      <c r="G39" s="12" t="s">
        <v>19</v>
      </c>
      <c r="H39" s="12"/>
      <c r="I39" s="15"/>
      <c r="J39" s="12"/>
      <c r="K39" s="14">
        <v>1.4999260000000001</v>
      </c>
      <c r="L39" s="14">
        <v>2.5860000000000001E-2</v>
      </c>
      <c r="M39" s="13">
        <f t="shared" si="5"/>
        <v>3.8788086360000001E-2</v>
      </c>
      <c r="N39" s="14">
        <v>1.8007169999999999</v>
      </c>
      <c r="O39" s="14">
        <v>1.3240000000000001E-3</v>
      </c>
      <c r="P39" s="13">
        <f t="shared" si="0"/>
        <v>2.384149308E-3</v>
      </c>
      <c r="Q39" s="14">
        <v>0.99804300000000001</v>
      </c>
      <c r="R39" s="14">
        <v>2.8110000000000001E-3</v>
      </c>
      <c r="S39" s="13">
        <f t="shared" si="6"/>
        <v>2.805498873E-3</v>
      </c>
      <c r="T39" s="14">
        <v>1.7998130000000001</v>
      </c>
      <c r="U39" s="14">
        <v>5.6290000000000003E-3</v>
      </c>
      <c r="V39" s="13">
        <f t="shared" si="1"/>
        <v>1.0131147377000001E-2</v>
      </c>
      <c r="W39" s="14">
        <v>0.99805100000000002</v>
      </c>
      <c r="X39" s="14">
        <v>3.4763000000000002E-2</v>
      </c>
      <c r="Y39" s="13">
        <f t="shared" si="2"/>
        <v>3.4695246913000001E-2</v>
      </c>
      <c r="Z39" s="14">
        <f t="shared" si="3"/>
        <v>8.8804128831000001E-2</v>
      </c>
    </row>
    <row r="40" spans="1:26" x14ac:dyDescent="0.7">
      <c r="A40" s="8">
        <v>3</v>
      </c>
      <c r="B40" s="9">
        <v>19000</v>
      </c>
      <c r="C40" s="15">
        <v>-47.651387410928642</v>
      </c>
      <c r="D40" s="15">
        <f t="shared" si="13"/>
        <v>-12.856763043394672</v>
      </c>
      <c r="E40" s="15">
        <v>34.79462436753397</v>
      </c>
      <c r="F40" s="12" t="s">
        <v>15</v>
      </c>
      <c r="G40" s="12" t="s">
        <v>19</v>
      </c>
      <c r="H40" s="12"/>
      <c r="I40" s="15"/>
      <c r="J40" s="12"/>
      <c r="K40" s="14">
        <v>1.4999260000000001</v>
      </c>
      <c r="L40" s="14">
        <v>2.5894E-2</v>
      </c>
      <c r="M40" s="13">
        <f t="shared" si="5"/>
        <v>3.8839083844000005E-2</v>
      </c>
      <c r="N40" s="14">
        <v>1.8007169999999999</v>
      </c>
      <c r="O40" s="14">
        <v>1.323E-3</v>
      </c>
      <c r="P40" s="13">
        <f t="shared" si="0"/>
        <v>2.3823485909999997E-3</v>
      </c>
      <c r="Q40" s="14">
        <v>0.99804300000000001</v>
      </c>
      <c r="R40" s="14">
        <v>2.8110000000000001E-3</v>
      </c>
      <c r="S40" s="13">
        <f t="shared" si="6"/>
        <v>2.805498873E-3</v>
      </c>
      <c r="T40" s="14">
        <v>1.8000130000000001</v>
      </c>
      <c r="U40" s="14">
        <v>5.6319999999999999E-3</v>
      </c>
      <c r="V40" s="13">
        <f t="shared" si="1"/>
        <v>1.0137673216000001E-2</v>
      </c>
      <c r="W40" s="14">
        <v>0.99888600000000005</v>
      </c>
      <c r="X40" s="14">
        <v>3.4763000000000002E-2</v>
      </c>
      <c r="Y40" s="13">
        <f t="shared" si="2"/>
        <v>3.4724274018000004E-2</v>
      </c>
      <c r="Z40" s="14">
        <f t="shared" si="3"/>
        <v>8.8888878542000005E-2</v>
      </c>
    </row>
    <row r="41" spans="1:26" x14ac:dyDescent="0.7">
      <c r="A41" s="8">
        <v>4</v>
      </c>
      <c r="B41" s="9">
        <v>19000</v>
      </c>
      <c r="C41" s="15">
        <v>-45.651387410928642</v>
      </c>
      <c r="D41" s="15">
        <f t="shared" si="13"/>
        <v>-10.896389443394675</v>
      </c>
      <c r="E41" s="15">
        <v>34.754997967533967</v>
      </c>
      <c r="F41" s="12" t="s">
        <v>15</v>
      </c>
      <c r="G41" s="12" t="s">
        <v>19</v>
      </c>
      <c r="H41" s="12"/>
      <c r="I41" s="15"/>
      <c r="J41" s="12"/>
      <c r="K41" s="14">
        <v>1.4999260000000001</v>
      </c>
      <c r="L41" s="14">
        <v>2.5975000000000002E-2</v>
      </c>
      <c r="M41" s="13">
        <f t="shared" si="5"/>
        <v>3.8960577850000004E-2</v>
      </c>
      <c r="N41" s="14">
        <v>1.8007169999999999</v>
      </c>
      <c r="O41" s="14">
        <v>1.323E-3</v>
      </c>
      <c r="P41" s="13">
        <f t="shared" si="0"/>
        <v>2.3823485909999997E-3</v>
      </c>
      <c r="Q41" s="14">
        <v>0.99804300000000001</v>
      </c>
      <c r="R41" s="14">
        <v>2.81E-3</v>
      </c>
      <c r="S41" s="13">
        <f t="shared" si="6"/>
        <v>2.8045008299999999E-3</v>
      </c>
      <c r="T41" s="14">
        <v>1.7998130000000001</v>
      </c>
      <c r="U41" s="14">
        <v>5.6299999999999996E-3</v>
      </c>
      <c r="V41" s="13">
        <f t="shared" si="1"/>
        <v>1.013294719E-2</v>
      </c>
      <c r="W41" s="14">
        <v>0.99888600000000005</v>
      </c>
      <c r="X41" s="14">
        <v>3.4763000000000002E-2</v>
      </c>
      <c r="Y41" s="13">
        <f t="shared" si="2"/>
        <v>3.4724274018000004E-2</v>
      </c>
      <c r="Z41" s="14">
        <f t="shared" si="3"/>
        <v>8.9004648478999998E-2</v>
      </c>
    </row>
    <row r="42" spans="1:26" x14ac:dyDescent="0.7">
      <c r="A42" s="8">
        <v>5</v>
      </c>
      <c r="B42" s="9">
        <v>19000</v>
      </c>
      <c r="C42" s="15">
        <v>-43.651387410928642</v>
      </c>
      <c r="D42" s="15">
        <f t="shared" si="13"/>
        <v>-8.979047543394671</v>
      </c>
      <c r="E42" s="15">
        <v>34.672339867533971</v>
      </c>
      <c r="F42" s="12" t="s">
        <v>15</v>
      </c>
      <c r="G42" s="12" t="s">
        <v>19</v>
      </c>
      <c r="H42" s="12"/>
      <c r="I42" s="15"/>
      <c r="J42" s="12"/>
      <c r="K42" s="14">
        <v>1.4999260000000001</v>
      </c>
      <c r="L42" s="14">
        <v>2.6058999999999999E-2</v>
      </c>
      <c r="M42" s="13">
        <f t="shared" si="5"/>
        <v>3.9086571633999999E-2</v>
      </c>
      <c r="N42" s="14">
        <v>1.8007169999999999</v>
      </c>
      <c r="O42" s="14">
        <v>1.3240000000000001E-3</v>
      </c>
      <c r="P42" s="13">
        <f t="shared" si="0"/>
        <v>2.384149308E-3</v>
      </c>
      <c r="Q42" s="14">
        <v>0.99804300000000001</v>
      </c>
      <c r="R42" s="14">
        <v>2.81E-3</v>
      </c>
      <c r="S42" s="13">
        <f t="shared" si="6"/>
        <v>2.8045008299999999E-3</v>
      </c>
      <c r="T42" s="14">
        <v>1.7998130000000001</v>
      </c>
      <c r="U42" s="14">
        <v>5.6299999999999996E-3</v>
      </c>
      <c r="V42" s="13">
        <f t="shared" si="1"/>
        <v>1.013294719E-2</v>
      </c>
      <c r="W42" s="14">
        <v>0.99888600000000005</v>
      </c>
      <c r="X42" s="14">
        <v>3.4828999999999999E-2</v>
      </c>
      <c r="Y42" s="13">
        <f t="shared" si="2"/>
        <v>3.4790200494000001E-2</v>
      </c>
      <c r="Z42" s="14">
        <f t="shared" si="3"/>
        <v>8.9198369456000001E-2</v>
      </c>
    </row>
    <row r="43" spans="1:26" x14ac:dyDescent="0.7">
      <c r="A43" s="8">
        <v>6</v>
      </c>
      <c r="B43" s="9">
        <v>19000</v>
      </c>
      <c r="C43" s="15">
        <v>-41.651387410928642</v>
      </c>
      <c r="D43" s="15">
        <f t="shared" si="13"/>
        <v>-7.1856155433946753</v>
      </c>
      <c r="E43" s="15">
        <v>34.465771867533967</v>
      </c>
      <c r="F43" s="12" t="s">
        <v>15</v>
      </c>
      <c r="G43" s="12" t="s">
        <v>19</v>
      </c>
      <c r="H43" s="12"/>
      <c r="I43" s="15"/>
      <c r="J43" s="12"/>
      <c r="K43" s="14">
        <v>1.4999260000000001</v>
      </c>
      <c r="L43" s="14">
        <v>2.6192E-2</v>
      </c>
      <c r="M43" s="13">
        <f t="shared" si="5"/>
        <v>3.9286061792000004E-2</v>
      </c>
      <c r="N43" s="14">
        <v>1.8007169999999999</v>
      </c>
      <c r="O43" s="14">
        <v>1.323E-3</v>
      </c>
      <c r="P43" s="13">
        <f t="shared" si="0"/>
        <v>2.3823485909999997E-3</v>
      </c>
      <c r="Q43" s="14">
        <v>0.99804300000000001</v>
      </c>
      <c r="R43" s="14">
        <v>2.8110000000000001E-3</v>
      </c>
      <c r="S43" s="13">
        <f t="shared" si="6"/>
        <v>2.805498873E-3</v>
      </c>
      <c r="T43" s="14">
        <v>1.8000130000000001</v>
      </c>
      <c r="U43" s="14">
        <v>5.6290000000000003E-3</v>
      </c>
      <c r="V43" s="13">
        <f t="shared" si="1"/>
        <v>1.0132273177E-2</v>
      </c>
      <c r="W43" s="14">
        <v>0.99888600000000005</v>
      </c>
      <c r="X43" s="14">
        <v>3.4828999999999999E-2</v>
      </c>
      <c r="Y43" s="13">
        <f t="shared" si="2"/>
        <v>3.4790200494000001E-2</v>
      </c>
      <c r="Z43" s="14">
        <f t="shared" si="3"/>
        <v>8.9396382927000001E-2</v>
      </c>
    </row>
    <row r="44" spans="1:26" x14ac:dyDescent="0.7">
      <c r="A44" s="8">
        <v>7</v>
      </c>
      <c r="B44" s="9">
        <v>19000</v>
      </c>
      <c r="C44" s="15">
        <v>-39.651387410928642</v>
      </c>
      <c r="D44" s="15">
        <f t="shared" si="13"/>
        <v>-5.5492698433946686</v>
      </c>
      <c r="E44" s="15">
        <v>34.102117567533973</v>
      </c>
      <c r="F44" s="12" t="s">
        <v>15</v>
      </c>
      <c r="G44" s="12" t="s">
        <v>19</v>
      </c>
      <c r="H44" s="12"/>
      <c r="I44" s="15"/>
      <c r="J44" s="12"/>
      <c r="K44" s="14">
        <v>1.4999260000000001</v>
      </c>
      <c r="L44" s="14">
        <v>2.6366000000000001E-2</v>
      </c>
      <c r="M44" s="13">
        <f t="shared" si="5"/>
        <v>3.9547048916000006E-2</v>
      </c>
      <c r="N44" s="14">
        <v>1.8007169999999999</v>
      </c>
      <c r="O44" s="14">
        <v>1.323E-3</v>
      </c>
      <c r="P44" s="13">
        <f t="shared" si="0"/>
        <v>2.3823485909999997E-3</v>
      </c>
      <c r="Q44" s="14">
        <v>0.99804300000000001</v>
      </c>
      <c r="R44" s="14">
        <v>2.81E-3</v>
      </c>
      <c r="S44" s="13">
        <f t="shared" si="6"/>
        <v>2.8045008299999999E-3</v>
      </c>
      <c r="T44" s="14">
        <v>1.7998130000000001</v>
      </c>
      <c r="U44" s="14">
        <v>5.6290000000000003E-3</v>
      </c>
      <c r="V44" s="13">
        <f t="shared" si="1"/>
        <v>1.0131147377000001E-2</v>
      </c>
      <c r="W44" s="14">
        <v>0.99805100000000002</v>
      </c>
      <c r="X44" s="14">
        <v>3.4763000000000002E-2</v>
      </c>
      <c r="Y44" s="13">
        <f t="shared" si="2"/>
        <v>3.4695246913000001E-2</v>
      </c>
      <c r="Z44" s="14">
        <f t="shared" si="3"/>
        <v>8.9560292627000007E-2</v>
      </c>
    </row>
    <row r="45" spans="1:26" x14ac:dyDescent="0.7">
      <c r="A45" s="32">
        <v>8</v>
      </c>
      <c r="B45" s="33">
        <v>19000</v>
      </c>
      <c r="C45" s="40">
        <v>-37.651387410928642</v>
      </c>
      <c r="D45" s="40">
        <f t="shared" si="13"/>
        <v>-4.1614839433946713</v>
      </c>
      <c r="E45" s="40">
        <v>33.489903467533971</v>
      </c>
      <c r="F45" s="37" t="s">
        <v>15</v>
      </c>
      <c r="G45" s="37" t="s">
        <v>19</v>
      </c>
      <c r="H45" s="36" t="s">
        <v>38</v>
      </c>
      <c r="I45" s="40"/>
      <c r="J45" s="37"/>
      <c r="K45" s="39">
        <v>1.4999260000000001</v>
      </c>
      <c r="L45" s="39">
        <v>2.6655000000000002E-2</v>
      </c>
      <c r="M45" s="38">
        <f t="shared" si="5"/>
        <v>3.9980527530000004E-2</v>
      </c>
      <c r="N45" s="39">
        <v>1.8007169999999999</v>
      </c>
      <c r="O45" s="39">
        <v>1.323E-3</v>
      </c>
      <c r="P45" s="38">
        <f t="shared" si="0"/>
        <v>2.3823485909999997E-3</v>
      </c>
      <c r="Q45" s="39">
        <v>0.99804300000000001</v>
      </c>
      <c r="R45" s="39">
        <v>2.81E-3</v>
      </c>
      <c r="S45" s="38">
        <f t="shared" si="6"/>
        <v>2.8045008299999999E-3</v>
      </c>
      <c r="T45" s="39">
        <v>1.7998130000000001</v>
      </c>
      <c r="U45" s="39">
        <v>5.6360000000000004E-3</v>
      </c>
      <c r="V45" s="38">
        <f t="shared" si="1"/>
        <v>1.0143746068000002E-2</v>
      </c>
      <c r="W45" s="39">
        <v>0.99888600000000005</v>
      </c>
      <c r="X45" s="39">
        <v>3.4763000000000002E-2</v>
      </c>
      <c r="Y45" s="38">
        <f t="shared" si="2"/>
        <v>3.4724274018000004E-2</v>
      </c>
      <c r="Z45" s="39">
        <f t="shared" si="3"/>
        <v>9.0035397037000003E-2</v>
      </c>
    </row>
    <row r="46" spans="1:26" x14ac:dyDescent="0.7">
      <c r="A46" s="8">
        <v>9</v>
      </c>
      <c r="B46" s="9">
        <v>19000</v>
      </c>
      <c r="C46" s="15">
        <v>-35.651387410928642</v>
      </c>
      <c r="D46" s="15">
        <f t="shared" si="13"/>
        <v>-3.1611642433946727</v>
      </c>
      <c r="E46" s="15">
        <v>32.490223167533969</v>
      </c>
      <c r="F46" s="12" t="s">
        <v>15</v>
      </c>
      <c r="G46" s="12" t="s">
        <v>19</v>
      </c>
      <c r="H46" s="12"/>
      <c r="I46" s="15"/>
      <c r="J46" s="12"/>
      <c r="K46" s="14">
        <v>1.4999260000000001</v>
      </c>
      <c r="L46" s="14">
        <v>2.6976E-2</v>
      </c>
      <c r="M46" s="13">
        <f t="shared" si="5"/>
        <v>4.0462003776000004E-2</v>
      </c>
      <c r="N46" s="14">
        <v>1.8007169999999999</v>
      </c>
      <c r="O46" s="14">
        <v>1.323E-3</v>
      </c>
      <c r="P46" s="13">
        <f t="shared" si="0"/>
        <v>2.3823485909999997E-3</v>
      </c>
      <c r="Q46" s="14">
        <v>0.99804300000000001</v>
      </c>
      <c r="R46" s="14">
        <v>2.8110000000000001E-3</v>
      </c>
      <c r="S46" s="13">
        <f t="shared" si="6"/>
        <v>2.805498873E-3</v>
      </c>
      <c r="T46" s="14">
        <v>1.7998130000000001</v>
      </c>
      <c r="U46" s="14">
        <v>5.6340000000000001E-3</v>
      </c>
      <c r="V46" s="13">
        <f t="shared" si="1"/>
        <v>1.0140146442E-2</v>
      </c>
      <c r="W46" s="14">
        <v>0.99805100000000002</v>
      </c>
      <c r="X46" s="14">
        <v>3.4763000000000002E-2</v>
      </c>
      <c r="Y46" s="13">
        <f t="shared" si="2"/>
        <v>3.4695246913000001E-2</v>
      </c>
      <c r="Z46" s="14">
        <f t="shared" si="3"/>
        <v>9.0485244595000014E-2</v>
      </c>
    </row>
    <row r="47" spans="1:26" x14ac:dyDescent="0.7">
      <c r="A47" s="8">
        <v>10</v>
      </c>
      <c r="B47" s="9">
        <v>19000</v>
      </c>
      <c r="C47" s="15">
        <v>-33.651387410928642</v>
      </c>
      <c r="D47" s="15">
        <f t="shared" si="13"/>
        <v>-2.6456296433946704</v>
      </c>
      <c r="E47" s="15">
        <v>31.005757767533972</v>
      </c>
      <c r="F47" s="12" t="s">
        <v>15</v>
      </c>
      <c r="G47" s="12" t="s">
        <v>19</v>
      </c>
      <c r="H47" s="12"/>
      <c r="I47" s="15"/>
      <c r="J47" s="12"/>
      <c r="K47" s="14">
        <v>1.4999260000000001</v>
      </c>
      <c r="L47" s="14">
        <v>2.7292E-2</v>
      </c>
      <c r="M47" s="13">
        <f t="shared" si="5"/>
        <v>4.0935980392000006E-2</v>
      </c>
      <c r="N47" s="14">
        <v>1.8007169999999999</v>
      </c>
      <c r="O47" s="14">
        <v>1.323E-3</v>
      </c>
      <c r="P47" s="13">
        <f t="shared" si="0"/>
        <v>2.3823485909999997E-3</v>
      </c>
      <c r="Q47" s="14">
        <v>0.99804300000000001</v>
      </c>
      <c r="R47" s="14">
        <v>2.8110000000000001E-3</v>
      </c>
      <c r="S47" s="13">
        <f t="shared" si="6"/>
        <v>2.805498873E-3</v>
      </c>
      <c r="T47" s="14">
        <v>1.7998130000000001</v>
      </c>
      <c r="U47" s="14">
        <v>5.6319999999999999E-3</v>
      </c>
      <c r="V47" s="13">
        <f t="shared" si="1"/>
        <v>1.0136546816E-2</v>
      </c>
      <c r="W47" s="14">
        <v>0.99888600000000005</v>
      </c>
      <c r="X47" s="14">
        <v>3.4696999999999999E-2</v>
      </c>
      <c r="Y47" s="13">
        <f t="shared" si="2"/>
        <v>3.4658347542E-2</v>
      </c>
      <c r="Z47" s="14">
        <f t="shared" si="3"/>
        <v>9.0918722214000006E-2</v>
      </c>
    </row>
    <row r="48" spans="1:26" x14ac:dyDescent="0.7">
      <c r="A48" s="8">
        <v>11</v>
      </c>
      <c r="B48" s="9">
        <v>19000</v>
      </c>
      <c r="C48" s="15">
        <v>-32.651387410928642</v>
      </c>
      <c r="D48" s="15">
        <f t="shared" si="13"/>
        <v>-2.5594657433946715</v>
      </c>
      <c r="E48" s="15">
        <v>30.09192166753397</v>
      </c>
      <c r="F48" s="12" t="s">
        <v>15</v>
      </c>
      <c r="G48" s="12" t="s">
        <v>19</v>
      </c>
      <c r="H48" s="12"/>
      <c r="I48" s="15"/>
      <c r="J48" s="12"/>
      <c r="K48" s="14">
        <v>1.4999260000000001</v>
      </c>
      <c r="L48" s="14">
        <v>2.7453999999999999E-2</v>
      </c>
      <c r="M48" s="13">
        <f t="shared" si="5"/>
        <v>4.1178968404000003E-2</v>
      </c>
      <c r="N48" s="14">
        <v>1.8007169999999999</v>
      </c>
      <c r="O48" s="14">
        <v>1.322E-3</v>
      </c>
      <c r="P48" s="13">
        <f t="shared" si="0"/>
        <v>2.3805478739999998E-3</v>
      </c>
      <c r="Q48" s="14">
        <v>0.99804300000000001</v>
      </c>
      <c r="R48" s="14">
        <v>2.8110000000000001E-3</v>
      </c>
      <c r="S48" s="13">
        <f t="shared" si="6"/>
        <v>2.805498873E-3</v>
      </c>
      <c r="T48" s="14">
        <v>1.7998130000000001</v>
      </c>
      <c r="U48" s="14">
        <v>5.6319999999999999E-3</v>
      </c>
      <c r="V48" s="13">
        <f t="shared" si="1"/>
        <v>1.0136546816E-2</v>
      </c>
      <c r="W48" s="14">
        <v>0.99888600000000005</v>
      </c>
      <c r="X48" s="14">
        <v>3.4763000000000002E-2</v>
      </c>
      <c r="Y48" s="13">
        <f t="shared" si="2"/>
        <v>3.4724274018000004E-2</v>
      </c>
      <c r="Z48" s="14">
        <f t="shared" si="3"/>
        <v>9.1225835985000003E-2</v>
      </c>
    </row>
    <row r="49" spans="1:26" x14ac:dyDescent="0.7">
      <c r="A49" s="8">
        <v>12</v>
      </c>
      <c r="B49" s="9">
        <v>19000</v>
      </c>
      <c r="C49" s="15">
        <v>-31.651387410928649</v>
      </c>
      <c r="D49" s="15">
        <f t="shared" si="13"/>
        <v>-2.5859849433946778</v>
      </c>
      <c r="E49" s="15">
        <v>29.065402467533971</v>
      </c>
      <c r="F49" s="12" t="s">
        <v>15</v>
      </c>
      <c r="G49" s="12" t="s">
        <v>19</v>
      </c>
      <c r="H49" s="12"/>
      <c r="I49" s="15"/>
      <c r="J49" s="12"/>
      <c r="K49" s="14">
        <v>1.4999260000000001</v>
      </c>
      <c r="L49" s="14">
        <v>2.7607E-2</v>
      </c>
      <c r="M49" s="13">
        <f t="shared" si="5"/>
        <v>4.1408457082E-2</v>
      </c>
      <c r="N49" s="14">
        <v>1.8007169999999999</v>
      </c>
      <c r="O49" s="14">
        <v>1.323E-3</v>
      </c>
      <c r="P49" s="13">
        <f t="shared" si="0"/>
        <v>2.3823485909999997E-3</v>
      </c>
      <c r="Q49" s="14">
        <v>0.99804300000000001</v>
      </c>
      <c r="R49" s="14">
        <v>2.8110000000000001E-3</v>
      </c>
      <c r="S49" s="13">
        <f t="shared" si="6"/>
        <v>2.805498873E-3</v>
      </c>
      <c r="T49" s="14">
        <v>1.7998130000000001</v>
      </c>
      <c r="U49" s="14">
        <v>5.6290000000000003E-3</v>
      </c>
      <c r="V49" s="13">
        <f t="shared" si="1"/>
        <v>1.0131147377000001E-2</v>
      </c>
      <c r="W49" s="14">
        <v>0.99888600000000005</v>
      </c>
      <c r="X49" s="14">
        <v>3.4828999999999999E-2</v>
      </c>
      <c r="Y49" s="13">
        <f t="shared" si="2"/>
        <v>3.4790200494000001E-2</v>
      </c>
      <c r="Z49" s="14">
        <f t="shared" si="3"/>
        <v>9.1517652416999995E-2</v>
      </c>
    </row>
    <row r="50" spans="1:26" x14ac:dyDescent="0.7">
      <c r="A50" s="8">
        <v>13</v>
      </c>
      <c r="B50" s="9">
        <v>19000</v>
      </c>
      <c r="C50" s="15">
        <v>-30.651387410928649</v>
      </c>
      <c r="D50" s="15">
        <f t="shared" si="13"/>
        <v>-2.6862659433946696</v>
      </c>
      <c r="E50" s="15">
        <v>27.965121467533979</v>
      </c>
      <c r="F50" s="12" t="s">
        <v>15</v>
      </c>
      <c r="G50" s="12" t="s">
        <v>19</v>
      </c>
      <c r="H50" s="12"/>
      <c r="I50" s="15"/>
      <c r="J50" s="12"/>
      <c r="K50" s="14">
        <v>1.4999260000000001</v>
      </c>
      <c r="L50" s="14">
        <v>2.7778000000000001E-2</v>
      </c>
      <c r="M50" s="13">
        <f t="shared" si="5"/>
        <v>4.1664944428000006E-2</v>
      </c>
      <c r="N50" s="14">
        <v>1.8007169999999999</v>
      </c>
      <c r="O50" s="14">
        <v>1.323E-3</v>
      </c>
      <c r="P50" s="13">
        <f t="shared" si="0"/>
        <v>2.3823485909999997E-3</v>
      </c>
      <c r="Q50" s="14">
        <v>0.99804300000000001</v>
      </c>
      <c r="R50" s="14">
        <v>2.8110000000000001E-3</v>
      </c>
      <c r="S50" s="13">
        <f t="shared" si="6"/>
        <v>2.805498873E-3</v>
      </c>
      <c r="T50" s="14">
        <v>1.7998130000000001</v>
      </c>
      <c r="U50" s="14">
        <v>5.6290000000000003E-3</v>
      </c>
      <c r="V50" s="13">
        <f t="shared" si="1"/>
        <v>1.0131147377000001E-2</v>
      </c>
      <c r="W50" s="14">
        <v>0.99888600000000005</v>
      </c>
      <c r="X50" s="14">
        <v>3.4763000000000002E-2</v>
      </c>
      <c r="Y50" s="13">
        <f t="shared" si="2"/>
        <v>3.4724274018000004E-2</v>
      </c>
      <c r="Z50" s="14">
        <f t="shared" si="3"/>
        <v>9.1708213287000018E-2</v>
      </c>
    </row>
    <row r="51" spans="1:26" x14ac:dyDescent="0.7">
      <c r="A51" s="8">
        <v>14</v>
      </c>
      <c r="B51" s="9">
        <v>19000</v>
      </c>
      <c r="C51" s="15">
        <v>-29.651387410928649</v>
      </c>
      <c r="D51" s="15">
        <f t="shared" si="13"/>
        <v>-2.8555879433946778</v>
      </c>
      <c r="E51" s="15">
        <v>26.795799467533971</v>
      </c>
      <c r="F51" s="12" t="s">
        <v>15</v>
      </c>
      <c r="G51" s="12" t="s">
        <v>19</v>
      </c>
      <c r="H51" s="12"/>
      <c r="I51" s="15"/>
      <c r="J51" s="12"/>
      <c r="K51" s="14">
        <v>1.4999260000000001</v>
      </c>
      <c r="L51" s="14">
        <v>2.7984999999999999E-2</v>
      </c>
      <c r="M51" s="13">
        <f t="shared" si="5"/>
        <v>4.1975429110000004E-2</v>
      </c>
      <c r="N51" s="14">
        <v>1.8007169999999999</v>
      </c>
      <c r="O51" s="14">
        <v>1.322E-3</v>
      </c>
      <c r="P51" s="13">
        <f t="shared" si="0"/>
        <v>2.3805478739999998E-3</v>
      </c>
      <c r="Q51" s="14">
        <v>0.99804300000000001</v>
      </c>
      <c r="R51" s="14">
        <v>2.8110000000000001E-3</v>
      </c>
      <c r="S51" s="13">
        <f t="shared" si="6"/>
        <v>2.805498873E-3</v>
      </c>
      <c r="T51" s="14">
        <v>1.7998130000000001</v>
      </c>
      <c r="U51" s="14">
        <v>5.6290000000000003E-3</v>
      </c>
      <c r="V51" s="13">
        <f t="shared" si="1"/>
        <v>1.0131147377000001E-2</v>
      </c>
      <c r="W51" s="14">
        <v>0.99888600000000005</v>
      </c>
      <c r="X51" s="14">
        <v>3.4828999999999999E-2</v>
      </c>
      <c r="Y51" s="13">
        <f t="shared" si="2"/>
        <v>3.4790200494000001E-2</v>
      </c>
      <c r="Z51" s="14">
        <f t="shared" si="3"/>
        <v>9.2082823728000002E-2</v>
      </c>
    </row>
    <row r="52" spans="1:26" x14ac:dyDescent="0.7">
      <c r="A52" s="8">
        <v>15</v>
      </c>
      <c r="B52" s="9">
        <v>19000</v>
      </c>
      <c r="C52" s="15">
        <v>-28.651387410928649</v>
      </c>
      <c r="D52" s="15">
        <f t="shared" si="13"/>
        <v>-3.0597821433946777</v>
      </c>
      <c r="E52" s="15">
        <v>25.591605267533971</v>
      </c>
      <c r="F52" s="12" t="s">
        <v>15</v>
      </c>
      <c r="G52" s="12" t="s">
        <v>19</v>
      </c>
      <c r="H52" s="12"/>
      <c r="I52" s="15"/>
      <c r="J52" s="12"/>
      <c r="K52" s="14">
        <v>1.4999260000000001</v>
      </c>
      <c r="L52" s="14">
        <v>2.8228E-2</v>
      </c>
      <c r="M52" s="13">
        <f t="shared" si="5"/>
        <v>4.2339911128E-2</v>
      </c>
      <c r="N52" s="14">
        <v>1.8007169999999999</v>
      </c>
      <c r="O52" s="14">
        <v>1.323E-3</v>
      </c>
      <c r="P52" s="13">
        <f t="shared" si="0"/>
        <v>2.3823485909999997E-3</v>
      </c>
      <c r="Q52" s="14">
        <v>0.99804300000000001</v>
      </c>
      <c r="R52" s="14">
        <v>2.8110000000000001E-3</v>
      </c>
      <c r="S52" s="13">
        <f t="shared" si="6"/>
        <v>2.805498873E-3</v>
      </c>
      <c r="T52" s="14">
        <v>1.7998130000000001</v>
      </c>
      <c r="U52" s="14">
        <v>5.6290000000000003E-3</v>
      </c>
      <c r="V52" s="13">
        <f t="shared" si="1"/>
        <v>1.0131147377000001E-2</v>
      </c>
      <c r="W52" s="14">
        <v>0.99888600000000005</v>
      </c>
      <c r="X52" s="14">
        <v>3.4828999999999999E-2</v>
      </c>
      <c r="Y52" s="13">
        <f t="shared" si="2"/>
        <v>3.4790200494000001E-2</v>
      </c>
      <c r="Z52" s="14">
        <f t="shared" si="3"/>
        <v>9.2449106463000003E-2</v>
      </c>
    </row>
    <row r="53" spans="1:26" x14ac:dyDescent="0.7">
      <c r="A53" s="8">
        <v>16</v>
      </c>
      <c r="B53" s="9">
        <v>19000</v>
      </c>
      <c r="C53" s="15">
        <v>-27.651387410928649</v>
      </c>
      <c r="D53" s="15">
        <f t="shared" si="13"/>
        <v>-3.2903777433946679</v>
      </c>
      <c r="E53" s="15">
        <v>24.361009667533981</v>
      </c>
      <c r="F53" s="12" t="s">
        <v>15</v>
      </c>
      <c r="G53" s="12" t="s">
        <v>19</v>
      </c>
      <c r="H53" s="12"/>
      <c r="I53" s="15"/>
      <c r="J53" s="12"/>
      <c r="K53" s="14">
        <v>1.4999260000000001</v>
      </c>
      <c r="L53" s="14">
        <v>2.8507999999999999E-2</v>
      </c>
      <c r="M53" s="13">
        <f t="shared" si="5"/>
        <v>4.2759890408000004E-2</v>
      </c>
      <c r="N53" s="14">
        <v>1.8007169999999999</v>
      </c>
      <c r="O53" s="14">
        <v>1.322E-3</v>
      </c>
      <c r="P53" s="13">
        <f t="shared" si="0"/>
        <v>2.3805478739999998E-3</v>
      </c>
      <c r="Q53" s="14">
        <v>0.99804300000000001</v>
      </c>
      <c r="R53" s="14">
        <v>2.8110000000000001E-3</v>
      </c>
      <c r="S53" s="13">
        <f t="shared" si="6"/>
        <v>2.805498873E-3</v>
      </c>
      <c r="T53" s="14">
        <v>1.7998130000000001</v>
      </c>
      <c r="U53" s="14">
        <v>5.6290000000000003E-3</v>
      </c>
      <c r="V53" s="13">
        <f t="shared" si="1"/>
        <v>1.0131147377000001E-2</v>
      </c>
      <c r="W53" s="14">
        <v>0.99888600000000005</v>
      </c>
      <c r="X53" s="14">
        <v>3.4828999999999999E-2</v>
      </c>
      <c r="Y53" s="13">
        <f t="shared" si="2"/>
        <v>3.4790200494000001E-2</v>
      </c>
      <c r="Z53" s="14">
        <f t="shared" si="3"/>
        <v>9.2867285026000002E-2</v>
      </c>
    </row>
    <row r="54" spans="1:26" x14ac:dyDescent="0.7">
      <c r="A54" s="8">
        <v>17</v>
      </c>
      <c r="B54" s="9">
        <v>19000</v>
      </c>
      <c r="C54" s="15">
        <v>-26.651387410928649</v>
      </c>
      <c r="D54" s="15">
        <f t="shared" si="13"/>
        <v>-3.5312722433946782</v>
      </c>
      <c r="E54" s="15">
        <v>23.120115167533971</v>
      </c>
      <c r="F54" s="12" t="s">
        <v>15</v>
      </c>
      <c r="G54" s="12" t="s">
        <v>19</v>
      </c>
      <c r="H54" s="12"/>
      <c r="I54" s="15"/>
      <c r="J54" s="12"/>
      <c r="K54" s="14">
        <v>1.4999260000000001</v>
      </c>
      <c r="L54" s="14">
        <v>2.8840000000000001E-2</v>
      </c>
      <c r="M54" s="13">
        <f t="shared" si="5"/>
        <v>4.3257865840000007E-2</v>
      </c>
      <c r="N54" s="14">
        <v>1.8007169999999999</v>
      </c>
      <c r="O54" s="14">
        <v>1.323E-3</v>
      </c>
      <c r="P54" s="13">
        <f t="shared" si="0"/>
        <v>2.3823485909999997E-3</v>
      </c>
      <c r="Q54" s="14">
        <v>0.99804300000000001</v>
      </c>
      <c r="R54" s="14">
        <v>2.8110000000000001E-3</v>
      </c>
      <c r="S54" s="13">
        <f t="shared" si="6"/>
        <v>2.805498873E-3</v>
      </c>
      <c r="T54" s="14">
        <v>1.7998130000000001</v>
      </c>
      <c r="U54" s="14">
        <v>5.6299999999999996E-3</v>
      </c>
      <c r="V54" s="13">
        <f t="shared" si="1"/>
        <v>1.013294719E-2</v>
      </c>
      <c r="W54" s="14">
        <v>0.99888600000000005</v>
      </c>
      <c r="X54" s="14">
        <v>3.4894000000000001E-2</v>
      </c>
      <c r="Y54" s="13">
        <f t="shared" si="2"/>
        <v>3.4855128084000001E-2</v>
      </c>
      <c r="Z54" s="14">
        <f t="shared" si="3"/>
        <v>9.3433788577999999E-2</v>
      </c>
    </row>
    <row r="55" spans="1:26" x14ac:dyDescent="0.7">
      <c r="A55" s="8">
        <v>18</v>
      </c>
      <c r="B55" s="9">
        <v>19000</v>
      </c>
      <c r="C55" s="15">
        <v>-25.651387410928649</v>
      </c>
      <c r="D55" s="15">
        <f t="shared" si="13"/>
        <v>-3.7613434433946686</v>
      </c>
      <c r="E55" s="15">
        <v>21.89004396753398</v>
      </c>
      <c r="F55" s="12" t="s">
        <v>15</v>
      </c>
      <c r="G55" s="12" t="s">
        <v>19</v>
      </c>
      <c r="H55" s="12"/>
      <c r="I55" s="15"/>
      <c r="J55" s="12"/>
      <c r="K55" s="14">
        <v>1.4999260000000001</v>
      </c>
      <c r="L55" s="14">
        <v>2.9243000000000002E-2</v>
      </c>
      <c r="M55" s="13">
        <f t="shared" si="5"/>
        <v>4.3862336018000006E-2</v>
      </c>
      <c r="N55" s="14">
        <v>1.8007169999999999</v>
      </c>
      <c r="O55" s="14">
        <v>1.3209999999999999E-3</v>
      </c>
      <c r="P55" s="13">
        <f t="shared" si="0"/>
        <v>2.3787471569999999E-3</v>
      </c>
      <c r="Q55" s="14">
        <v>0.99804300000000001</v>
      </c>
      <c r="R55" s="14">
        <v>2.8110000000000001E-3</v>
      </c>
      <c r="S55" s="13">
        <f t="shared" si="6"/>
        <v>2.805498873E-3</v>
      </c>
      <c r="T55" s="14">
        <v>1.7998130000000001</v>
      </c>
      <c r="U55" s="14">
        <v>5.6290000000000003E-3</v>
      </c>
      <c r="V55" s="13">
        <f t="shared" si="1"/>
        <v>1.0131147377000001E-2</v>
      </c>
      <c r="W55" s="14">
        <v>0.99888600000000005</v>
      </c>
      <c r="X55" s="14">
        <v>3.4894000000000001E-2</v>
      </c>
      <c r="Y55" s="13">
        <f t="shared" si="2"/>
        <v>3.4855128084000001E-2</v>
      </c>
      <c r="Z55" s="14">
        <f t="shared" si="3"/>
        <v>9.4032857509000006E-2</v>
      </c>
    </row>
    <row r="56" spans="1:26" x14ac:dyDescent="0.7">
      <c r="A56" s="8">
        <v>19</v>
      </c>
      <c r="B56" s="9">
        <v>19000</v>
      </c>
      <c r="C56" s="15">
        <v>-24.651387410928649</v>
      </c>
      <c r="D56" s="15">
        <f t="shared" si="13"/>
        <v>-3.956047643394669</v>
      </c>
      <c r="E56" s="15">
        <v>20.69533976753398</v>
      </c>
      <c r="F56" s="12" t="s">
        <v>15</v>
      </c>
      <c r="G56" s="12" t="s">
        <v>19</v>
      </c>
      <c r="H56" s="12"/>
      <c r="I56" s="15"/>
      <c r="J56" s="12"/>
      <c r="K56" s="14">
        <v>1.4999260000000001</v>
      </c>
      <c r="L56" s="14">
        <v>2.9648999999999998E-2</v>
      </c>
      <c r="M56" s="13">
        <f t="shared" si="5"/>
        <v>4.4471305974000001E-2</v>
      </c>
      <c r="N56" s="14">
        <v>1.8007169999999999</v>
      </c>
      <c r="O56" s="14">
        <v>1.322E-3</v>
      </c>
      <c r="P56" s="13">
        <f t="shared" si="0"/>
        <v>2.3805478739999998E-3</v>
      </c>
      <c r="Q56" s="14">
        <v>0.99804300000000001</v>
      </c>
      <c r="R56" s="14">
        <v>2.8110000000000001E-3</v>
      </c>
      <c r="S56" s="13">
        <f t="shared" si="6"/>
        <v>2.805498873E-3</v>
      </c>
      <c r="T56" s="14">
        <v>1.7998130000000001</v>
      </c>
      <c r="U56" s="14">
        <v>5.6360000000000004E-3</v>
      </c>
      <c r="V56" s="13">
        <f t="shared" si="1"/>
        <v>1.0143746068000002E-2</v>
      </c>
      <c r="W56" s="14">
        <v>0.99888600000000005</v>
      </c>
      <c r="X56" s="14">
        <v>3.4828999999999999E-2</v>
      </c>
      <c r="Y56" s="13">
        <f t="shared" si="2"/>
        <v>3.4790200494000001E-2</v>
      </c>
      <c r="Z56" s="14">
        <f t="shared" si="3"/>
        <v>9.4591299283000002E-2</v>
      </c>
    </row>
    <row r="57" spans="1:26" x14ac:dyDescent="0.7">
      <c r="A57" s="8">
        <v>20</v>
      </c>
      <c r="B57" s="9">
        <v>19000</v>
      </c>
      <c r="C57" s="15">
        <v>-23.651387410928649</v>
      </c>
      <c r="D57" s="15">
        <f t="shared" si="13"/>
        <v>-4.1313551433946785</v>
      </c>
      <c r="E57" s="15">
        <v>19.520032267533971</v>
      </c>
      <c r="F57" s="12" t="s">
        <v>15</v>
      </c>
      <c r="G57" s="12" t="s">
        <v>19</v>
      </c>
      <c r="H57" s="12"/>
      <c r="I57" s="15"/>
      <c r="J57" s="12"/>
      <c r="K57" s="14">
        <v>1.4999260000000001</v>
      </c>
      <c r="L57" s="14">
        <v>3.0075999999999999E-2</v>
      </c>
      <c r="M57" s="13">
        <f t="shared" si="5"/>
        <v>4.5111774376000002E-2</v>
      </c>
      <c r="N57" s="14">
        <v>1.8007169999999999</v>
      </c>
      <c r="O57" s="14">
        <v>1.322E-3</v>
      </c>
      <c r="P57" s="13">
        <f t="shared" si="0"/>
        <v>2.3805478739999998E-3</v>
      </c>
      <c r="Q57" s="14">
        <v>0.99804300000000001</v>
      </c>
      <c r="R57" s="14">
        <v>2.8110000000000001E-3</v>
      </c>
      <c r="S57" s="13">
        <f t="shared" si="6"/>
        <v>2.805498873E-3</v>
      </c>
      <c r="T57" s="14">
        <v>1.7998130000000001</v>
      </c>
      <c r="U57" s="14">
        <v>5.6429999999999996E-3</v>
      </c>
      <c r="V57" s="13">
        <f t="shared" si="1"/>
        <v>1.0156344758999999E-2</v>
      </c>
      <c r="W57" s="14">
        <v>0.99888600000000005</v>
      </c>
      <c r="X57" s="14">
        <v>3.4894000000000001E-2</v>
      </c>
      <c r="Y57" s="13">
        <f t="shared" si="2"/>
        <v>3.4855128084000001E-2</v>
      </c>
      <c r="Z57" s="14">
        <f t="shared" si="3"/>
        <v>9.5309293966000005E-2</v>
      </c>
    </row>
    <row r="58" spans="1:26" x14ac:dyDescent="0.7">
      <c r="A58" s="8">
        <v>21</v>
      </c>
      <c r="B58" s="9">
        <v>19000</v>
      </c>
      <c r="C58" s="15">
        <v>-22.651387410928649</v>
      </c>
      <c r="D58" s="15">
        <f t="shared" si="13"/>
        <v>-4.2686764433946784</v>
      </c>
      <c r="E58" s="15">
        <v>18.382710967533971</v>
      </c>
      <c r="F58" s="12" t="s">
        <v>15</v>
      </c>
      <c r="G58" s="12" t="s">
        <v>19</v>
      </c>
      <c r="H58" s="12"/>
      <c r="I58" s="15"/>
      <c r="J58" s="12"/>
      <c r="K58" s="14">
        <v>1.5001260000000001</v>
      </c>
      <c r="L58" s="14">
        <v>3.0327E-2</v>
      </c>
      <c r="M58" s="13">
        <f t="shared" si="5"/>
        <v>4.5494321202000004E-2</v>
      </c>
      <c r="N58" s="14">
        <v>1.8007169999999999</v>
      </c>
      <c r="O58" s="14">
        <v>1.323E-3</v>
      </c>
      <c r="P58" s="13">
        <f t="shared" si="0"/>
        <v>2.3823485909999997E-3</v>
      </c>
      <c r="Q58" s="14">
        <v>0.99804300000000001</v>
      </c>
      <c r="R58" s="14">
        <v>2.8119999999999998E-3</v>
      </c>
      <c r="S58" s="13">
        <f t="shared" si="6"/>
        <v>2.8064969159999997E-3</v>
      </c>
      <c r="T58" s="14">
        <v>1.7998130000000001</v>
      </c>
      <c r="U58" s="14">
        <v>5.6410000000000002E-3</v>
      </c>
      <c r="V58" s="13">
        <f t="shared" si="1"/>
        <v>1.0152745133000001E-2</v>
      </c>
      <c r="W58" s="14">
        <v>0.99888600000000005</v>
      </c>
      <c r="X58" s="14">
        <v>3.4959999999999998E-2</v>
      </c>
      <c r="Y58" s="13">
        <f t="shared" si="2"/>
        <v>3.4921054559999998E-2</v>
      </c>
      <c r="Z58" s="14">
        <f t="shared" si="3"/>
        <v>9.5756966402000002E-2</v>
      </c>
    </row>
    <row r="59" spans="1:26" x14ac:dyDescent="0.7">
      <c r="A59" s="8">
        <v>22</v>
      </c>
      <c r="B59" s="9">
        <v>19000</v>
      </c>
      <c r="C59" s="15">
        <v>-21.651387410928649</v>
      </c>
      <c r="D59" s="15">
        <f t="shared" si="13"/>
        <v>-4.3727949433946698</v>
      </c>
      <c r="E59" s="15">
        <v>17.278592467533979</v>
      </c>
      <c r="F59" s="12" t="s">
        <v>15</v>
      </c>
      <c r="G59" s="12" t="s">
        <v>19</v>
      </c>
      <c r="H59" s="12"/>
      <c r="I59" s="15"/>
      <c r="J59" s="12"/>
      <c r="K59" s="14">
        <v>1.4999260000000001</v>
      </c>
      <c r="L59" s="14">
        <v>3.0817000000000001E-2</v>
      </c>
      <c r="M59" s="13">
        <f t="shared" si="5"/>
        <v>4.6223219542000003E-2</v>
      </c>
      <c r="N59" s="14">
        <v>1.8007169999999999</v>
      </c>
      <c r="O59" s="14">
        <v>1.322E-3</v>
      </c>
      <c r="P59" s="13">
        <f t="shared" si="0"/>
        <v>2.3805478739999998E-3</v>
      </c>
      <c r="Q59" s="14">
        <v>0.99804300000000001</v>
      </c>
      <c r="R59" s="14">
        <v>2.8119999999999998E-3</v>
      </c>
      <c r="S59" s="13">
        <f t="shared" si="6"/>
        <v>2.8064969159999997E-3</v>
      </c>
      <c r="T59" s="14">
        <v>1.7998130000000001</v>
      </c>
      <c r="U59" s="14">
        <v>5.6429999999999996E-3</v>
      </c>
      <c r="V59" s="13">
        <f t="shared" si="1"/>
        <v>1.0156344758999999E-2</v>
      </c>
      <c r="W59" s="14">
        <v>0.99888600000000005</v>
      </c>
      <c r="X59" s="14">
        <v>3.4959999999999998E-2</v>
      </c>
      <c r="Y59" s="13">
        <f t="shared" si="2"/>
        <v>3.4921054559999998E-2</v>
      </c>
      <c r="Z59" s="14">
        <f t="shared" si="3"/>
        <v>9.6487663651000005E-2</v>
      </c>
    </row>
    <row r="60" spans="1:26" x14ac:dyDescent="0.7">
      <c r="A60" s="8">
        <v>23</v>
      </c>
      <c r="B60" s="9">
        <v>19000</v>
      </c>
      <c r="C60" s="15">
        <v>-20.651387410928649</v>
      </c>
      <c r="D60" s="15">
        <f t="shared" si="13"/>
        <v>-4.4682938433946688</v>
      </c>
      <c r="E60" s="15">
        <v>16.18309356753398</v>
      </c>
      <c r="F60" s="12" t="s">
        <v>15</v>
      </c>
      <c r="G60" s="12" t="s">
        <v>19</v>
      </c>
      <c r="H60" s="11"/>
      <c r="I60" s="15"/>
      <c r="J60" s="12"/>
      <c r="K60" s="14">
        <v>1.4999260000000001</v>
      </c>
      <c r="L60" s="14">
        <v>3.1469999999999998E-2</v>
      </c>
      <c r="M60" s="13">
        <f t="shared" si="5"/>
        <v>4.7202671219999999E-2</v>
      </c>
      <c r="N60" s="14">
        <v>1.8007169999999999</v>
      </c>
      <c r="O60" s="14">
        <v>1.322E-3</v>
      </c>
      <c r="P60" s="13">
        <f t="shared" si="0"/>
        <v>2.3805478739999998E-3</v>
      </c>
      <c r="Q60" s="14">
        <v>0.99804300000000001</v>
      </c>
      <c r="R60" s="14">
        <v>2.8119999999999998E-3</v>
      </c>
      <c r="S60" s="13">
        <f t="shared" si="6"/>
        <v>2.8064969159999997E-3</v>
      </c>
      <c r="T60" s="14">
        <v>1.8000130000000001</v>
      </c>
      <c r="U60" s="14">
        <v>5.6389999999999999E-3</v>
      </c>
      <c r="V60" s="13">
        <f t="shared" si="1"/>
        <v>1.0150273307E-2</v>
      </c>
      <c r="W60" s="14">
        <v>0.99888600000000005</v>
      </c>
      <c r="X60" s="14">
        <v>3.5026000000000002E-2</v>
      </c>
      <c r="Y60" s="13">
        <f t="shared" si="2"/>
        <v>3.4986981036000002E-2</v>
      </c>
      <c r="Z60" s="14">
        <f t="shared" si="3"/>
        <v>9.7526970353000009E-2</v>
      </c>
    </row>
    <row r="61" spans="1:26" x14ac:dyDescent="0.7">
      <c r="A61" s="8">
        <v>24</v>
      </c>
      <c r="B61" s="9">
        <v>19000</v>
      </c>
      <c r="C61" s="15">
        <v>-19.651387410928649</v>
      </c>
      <c r="D61" s="15">
        <f t="shared" si="13"/>
        <v>-4.5392477433946787</v>
      </c>
      <c r="E61" s="15">
        <v>15.11213966753397</v>
      </c>
      <c r="F61" s="12" t="s">
        <v>15</v>
      </c>
      <c r="G61" s="12" t="s">
        <v>19</v>
      </c>
      <c r="H61" s="12"/>
      <c r="I61" s="15"/>
      <c r="J61" s="12"/>
      <c r="K61" s="14">
        <v>1.4999260000000001</v>
      </c>
      <c r="L61" s="14">
        <v>3.2122999999999999E-2</v>
      </c>
      <c r="M61" s="13">
        <f t="shared" si="5"/>
        <v>4.8182122898000002E-2</v>
      </c>
      <c r="N61" s="14">
        <v>1.8007169999999999</v>
      </c>
      <c r="O61" s="14">
        <v>1.322E-3</v>
      </c>
      <c r="P61" s="13">
        <f t="shared" si="0"/>
        <v>2.3805478739999998E-3</v>
      </c>
      <c r="Q61" s="14">
        <v>0.99804300000000001</v>
      </c>
      <c r="R61" s="14">
        <v>2.8119999999999998E-3</v>
      </c>
      <c r="S61" s="13">
        <f t="shared" si="6"/>
        <v>2.8064969159999997E-3</v>
      </c>
      <c r="T61" s="14">
        <v>1.7998130000000001</v>
      </c>
      <c r="U61" s="14">
        <v>5.6369999999999996E-3</v>
      </c>
      <c r="V61" s="13">
        <f t="shared" si="1"/>
        <v>1.0145545880999999E-2</v>
      </c>
      <c r="W61" s="14">
        <v>0.99888600000000005</v>
      </c>
      <c r="X61" s="14">
        <v>3.5090999999999997E-2</v>
      </c>
      <c r="Y61" s="13">
        <f t="shared" si="2"/>
        <v>3.5051908626000002E-2</v>
      </c>
      <c r="Z61" s="14">
        <f t="shared" si="3"/>
        <v>9.8566622195000009E-2</v>
      </c>
    </row>
    <row r="62" spans="1:26" x14ac:dyDescent="0.7">
      <c r="A62" s="8">
        <v>25</v>
      </c>
      <c r="B62" s="9">
        <v>19000</v>
      </c>
      <c r="C62" s="15">
        <v>-18.651387410928649</v>
      </c>
      <c r="D62" s="15">
        <f t="shared" si="13"/>
        <v>-4.5902890433946695</v>
      </c>
      <c r="E62" s="15">
        <v>14.06109836753398</v>
      </c>
      <c r="F62" s="12" t="s">
        <v>15</v>
      </c>
      <c r="G62" s="12" t="s">
        <v>19</v>
      </c>
      <c r="H62" s="12"/>
      <c r="I62" s="15"/>
      <c r="J62" s="12"/>
      <c r="K62" s="14">
        <v>1.4999260000000001</v>
      </c>
      <c r="L62" s="14">
        <v>3.2776E-2</v>
      </c>
      <c r="M62" s="13">
        <f t="shared" si="5"/>
        <v>4.9161574576000004E-2</v>
      </c>
      <c r="N62" s="14">
        <v>1.8007169999999999</v>
      </c>
      <c r="O62" s="14">
        <v>1.322E-3</v>
      </c>
      <c r="P62" s="13">
        <f t="shared" si="0"/>
        <v>2.3805478739999998E-3</v>
      </c>
      <c r="Q62" s="14">
        <v>0.99804300000000001</v>
      </c>
      <c r="R62" s="14">
        <v>2.8119999999999998E-3</v>
      </c>
      <c r="S62" s="13">
        <f t="shared" si="6"/>
        <v>2.8064969159999997E-3</v>
      </c>
      <c r="T62" s="14">
        <v>1.7998130000000001</v>
      </c>
      <c r="U62" s="14">
        <v>5.6290000000000003E-3</v>
      </c>
      <c r="V62" s="13">
        <f t="shared" si="1"/>
        <v>1.0131147377000001E-2</v>
      </c>
      <c r="W62" s="14">
        <v>0.99888600000000005</v>
      </c>
      <c r="X62" s="14">
        <v>3.5090999999999997E-2</v>
      </c>
      <c r="Y62" s="13">
        <f t="shared" si="2"/>
        <v>3.5051908626000002E-2</v>
      </c>
      <c r="Z62" s="14">
        <f t="shared" si="3"/>
        <v>9.9531675369000011E-2</v>
      </c>
    </row>
    <row r="63" spans="1:26" x14ac:dyDescent="0.7">
      <c r="A63" s="8">
        <v>26</v>
      </c>
      <c r="B63" s="9">
        <v>19000</v>
      </c>
      <c r="C63" s="15">
        <v>-17.651387410928649</v>
      </c>
      <c r="D63" s="15">
        <f t="shared" si="13"/>
        <v>-4.6186883433946697</v>
      </c>
      <c r="E63" s="15">
        <v>13.032699067533979</v>
      </c>
      <c r="F63" s="12" t="s">
        <v>15</v>
      </c>
      <c r="G63" s="12" t="s">
        <v>19</v>
      </c>
      <c r="H63" s="12"/>
      <c r="I63" s="15"/>
      <c r="J63" s="12"/>
      <c r="K63" s="14">
        <v>1.5001260000000001</v>
      </c>
      <c r="L63" s="14">
        <v>3.3756000000000001E-2</v>
      </c>
      <c r="M63" s="13">
        <f t="shared" si="5"/>
        <v>5.0638253256000007E-2</v>
      </c>
      <c r="N63" s="14">
        <v>1.8007169999999999</v>
      </c>
      <c r="O63" s="14">
        <v>1.3209999999999999E-3</v>
      </c>
      <c r="P63" s="13">
        <f t="shared" si="0"/>
        <v>2.3787471569999999E-3</v>
      </c>
      <c r="Q63" s="14">
        <v>0.99804300000000001</v>
      </c>
      <c r="R63" s="14">
        <v>2.8119999999999998E-3</v>
      </c>
      <c r="S63" s="13">
        <f t="shared" si="6"/>
        <v>2.8064969159999997E-3</v>
      </c>
      <c r="T63" s="14">
        <v>1.8000130000000001</v>
      </c>
      <c r="U63" s="14">
        <v>5.6319999999999999E-3</v>
      </c>
      <c r="V63" s="13">
        <f t="shared" si="1"/>
        <v>1.0137673216000001E-2</v>
      </c>
      <c r="W63" s="14">
        <v>0.99888600000000005</v>
      </c>
      <c r="X63" s="14">
        <v>3.5222999999999997E-2</v>
      </c>
      <c r="Y63" s="13">
        <f t="shared" si="2"/>
        <v>3.5183761577999996E-2</v>
      </c>
      <c r="Z63" s="14">
        <f t="shared" si="3"/>
        <v>0.10114493212299999</v>
      </c>
    </row>
    <row r="64" spans="1:26" x14ac:dyDescent="0.7">
      <c r="A64" s="8">
        <v>27</v>
      </c>
      <c r="B64" s="9">
        <v>19000</v>
      </c>
      <c r="C64" s="15">
        <v>-16.65276599092865</v>
      </c>
      <c r="D64" s="15">
        <f t="shared" si="13"/>
        <v>-4.6454974433946692</v>
      </c>
      <c r="E64" s="15">
        <v>12.007268547533981</v>
      </c>
      <c r="F64" s="12" t="s">
        <v>15</v>
      </c>
      <c r="G64" s="12" t="s">
        <v>19</v>
      </c>
      <c r="H64" s="12"/>
      <c r="I64" s="15"/>
      <c r="J64" s="12"/>
      <c r="K64" s="14">
        <v>1.4999260000000001</v>
      </c>
      <c r="L64" s="14">
        <v>3.4571999999999999E-2</v>
      </c>
      <c r="M64" s="13">
        <f t="shared" si="5"/>
        <v>5.1855441671999999E-2</v>
      </c>
      <c r="N64" s="14">
        <v>1.8007169999999999</v>
      </c>
      <c r="O64" s="14">
        <v>1.3209999999999999E-3</v>
      </c>
      <c r="P64" s="13">
        <f t="shared" si="0"/>
        <v>2.3787471569999999E-3</v>
      </c>
      <c r="Q64" s="14">
        <v>0.99804300000000001</v>
      </c>
      <c r="R64" s="14">
        <v>2.813E-3</v>
      </c>
      <c r="S64" s="13">
        <f t="shared" si="6"/>
        <v>2.8074949589999999E-3</v>
      </c>
      <c r="T64" s="14">
        <v>1.7998130000000001</v>
      </c>
      <c r="U64" s="14">
        <v>5.6319999999999999E-3</v>
      </c>
      <c r="V64" s="13">
        <f t="shared" si="1"/>
        <v>1.0136546816E-2</v>
      </c>
      <c r="W64" s="14">
        <v>0.99805100000000002</v>
      </c>
      <c r="X64" s="14">
        <v>3.5289000000000001E-2</v>
      </c>
      <c r="Y64" s="13">
        <f t="shared" si="2"/>
        <v>3.5220221739000003E-2</v>
      </c>
      <c r="Z64" s="14">
        <f t="shared" si="3"/>
        <v>0.10239845234299999</v>
      </c>
    </row>
    <row r="65" spans="1:26" x14ac:dyDescent="0.7">
      <c r="A65" s="8">
        <v>28</v>
      </c>
      <c r="B65" s="9">
        <v>19000</v>
      </c>
      <c r="C65" s="15">
        <v>-15.649430990928639</v>
      </c>
      <c r="D65" s="15">
        <f t="shared" si="13"/>
        <v>-4.65627124339467</v>
      </c>
      <c r="E65" s="15">
        <v>10.993159747533969</v>
      </c>
      <c r="F65" s="12" t="s">
        <v>15</v>
      </c>
      <c r="G65" s="12" t="s">
        <v>19</v>
      </c>
      <c r="H65" s="12"/>
      <c r="I65" s="15"/>
      <c r="J65" s="12"/>
      <c r="K65" s="14">
        <v>1.4999260000000001</v>
      </c>
      <c r="L65" s="14">
        <v>3.5388999999999997E-2</v>
      </c>
      <c r="M65" s="13">
        <f t="shared" si="5"/>
        <v>5.3080881214000002E-2</v>
      </c>
      <c r="N65" s="14">
        <v>1.8007169999999999</v>
      </c>
      <c r="O65" s="14">
        <v>1.3209999999999999E-3</v>
      </c>
      <c r="P65" s="13">
        <f t="shared" si="0"/>
        <v>2.3787471569999999E-3</v>
      </c>
      <c r="Q65" s="14">
        <v>0.99804300000000001</v>
      </c>
      <c r="R65" s="14">
        <v>2.813E-3</v>
      </c>
      <c r="S65" s="13">
        <f t="shared" si="6"/>
        <v>2.8074949589999999E-3</v>
      </c>
      <c r="T65" s="14">
        <v>1.7998130000000001</v>
      </c>
      <c r="U65" s="14">
        <v>5.6319999999999999E-3</v>
      </c>
      <c r="V65" s="13">
        <f t="shared" si="1"/>
        <v>1.0136546816E-2</v>
      </c>
      <c r="W65" s="14">
        <v>0.99888600000000005</v>
      </c>
      <c r="X65" s="14">
        <v>3.5353999999999997E-2</v>
      </c>
      <c r="Y65" s="13">
        <f t="shared" si="2"/>
        <v>3.5314615644E-2</v>
      </c>
      <c r="Z65" s="14">
        <f t="shared" si="3"/>
        <v>0.10371828578999999</v>
      </c>
    </row>
    <row r="66" spans="1:26" x14ac:dyDescent="0.7">
      <c r="A66" s="8">
        <v>29</v>
      </c>
      <c r="B66" s="9">
        <v>19000</v>
      </c>
      <c r="C66" s="15">
        <v>-14.651317190928641</v>
      </c>
      <c r="D66" s="15">
        <f t="shared" si="13"/>
        <v>-4.6574440433946656</v>
      </c>
      <c r="E66" s="15">
        <v>9.993873147533975</v>
      </c>
      <c r="F66" s="12" t="s">
        <v>15</v>
      </c>
      <c r="G66" s="12" t="s">
        <v>19</v>
      </c>
      <c r="H66" s="12"/>
      <c r="I66" s="15"/>
      <c r="J66" s="12"/>
      <c r="K66" s="14">
        <v>1.4999260000000001</v>
      </c>
      <c r="L66" s="14">
        <v>3.6041999999999998E-2</v>
      </c>
      <c r="M66" s="13">
        <f t="shared" si="5"/>
        <v>5.4060332891999997E-2</v>
      </c>
      <c r="N66" s="14">
        <v>1.8007169999999999</v>
      </c>
      <c r="O66" s="14">
        <v>1.3209999999999999E-3</v>
      </c>
      <c r="P66" s="13">
        <f t="shared" si="0"/>
        <v>2.3787471569999999E-3</v>
      </c>
      <c r="Q66" s="14">
        <v>0.99804300000000001</v>
      </c>
      <c r="R66" s="14">
        <v>2.813E-3</v>
      </c>
      <c r="S66" s="13">
        <f t="shared" si="6"/>
        <v>2.8074949589999999E-3</v>
      </c>
      <c r="T66" s="14">
        <v>1.7998130000000001</v>
      </c>
      <c r="U66" s="14">
        <v>5.6360000000000004E-3</v>
      </c>
      <c r="V66" s="13">
        <f t="shared" si="1"/>
        <v>1.0143746068000002E-2</v>
      </c>
      <c r="W66" s="14">
        <v>0.99888600000000005</v>
      </c>
      <c r="X66" s="14">
        <v>3.542E-2</v>
      </c>
      <c r="Y66" s="13">
        <f t="shared" si="2"/>
        <v>3.5380542120000004E-2</v>
      </c>
      <c r="Z66" s="14">
        <f t="shared" si="3"/>
        <v>0.10477086319599999</v>
      </c>
    </row>
    <row r="67" spans="1:26" x14ac:dyDescent="0.7">
      <c r="A67" s="8">
        <v>30</v>
      </c>
      <c r="B67" s="9">
        <v>19000</v>
      </c>
      <c r="C67" s="15">
        <v>-13.652445690928641</v>
      </c>
      <c r="D67" s="15">
        <f t="shared" si="13"/>
        <v>-4.6712855433946672</v>
      </c>
      <c r="E67" s="15">
        <v>8.9811601475339735</v>
      </c>
      <c r="F67" s="12" t="s">
        <v>15</v>
      </c>
      <c r="G67" s="12" t="s">
        <v>19</v>
      </c>
      <c r="H67" s="12"/>
      <c r="I67" s="15"/>
      <c r="J67" s="12"/>
      <c r="K67" s="14">
        <v>1.4999260000000001</v>
      </c>
      <c r="L67" s="14">
        <v>3.6532000000000002E-2</v>
      </c>
      <c r="M67" s="13">
        <f t="shared" si="5"/>
        <v>5.4795296632000008E-2</v>
      </c>
      <c r="N67" s="14">
        <v>1.8007169999999999</v>
      </c>
      <c r="O67" s="14">
        <v>1.322E-3</v>
      </c>
      <c r="P67" s="13">
        <f t="shared" si="0"/>
        <v>2.3805478739999998E-3</v>
      </c>
      <c r="Q67" s="14">
        <v>0.99804300000000001</v>
      </c>
      <c r="R67" s="14">
        <v>2.813E-3</v>
      </c>
      <c r="S67" s="13">
        <f t="shared" si="6"/>
        <v>2.8074949589999999E-3</v>
      </c>
      <c r="T67" s="14">
        <v>1.8000130000000001</v>
      </c>
      <c r="U67" s="14">
        <v>5.6340000000000001E-3</v>
      </c>
      <c r="V67" s="13">
        <f t="shared" si="1"/>
        <v>1.0141273242000001E-2</v>
      </c>
      <c r="W67" s="14">
        <v>0.99888600000000005</v>
      </c>
      <c r="X67" s="14">
        <v>3.5353999999999997E-2</v>
      </c>
      <c r="Y67" s="13">
        <f t="shared" si="2"/>
        <v>3.5314615644E-2</v>
      </c>
      <c r="Z67" s="14">
        <f t="shared" si="3"/>
        <v>0.105439228351</v>
      </c>
    </row>
    <row r="68" spans="1:26" x14ac:dyDescent="0.7">
      <c r="A68" s="16">
        <v>31</v>
      </c>
      <c r="B68" s="9">
        <v>19000</v>
      </c>
      <c r="C68" s="17">
        <v>-12.650977190928639</v>
      </c>
      <c r="D68" s="15">
        <f t="shared" si="13"/>
        <v>-4.6662203433946638</v>
      </c>
      <c r="E68" s="15">
        <v>7.9847568475339754</v>
      </c>
      <c r="F68" s="18" t="s">
        <v>15</v>
      </c>
      <c r="G68" s="18" t="s">
        <v>19</v>
      </c>
      <c r="H68" s="18"/>
      <c r="I68" s="17"/>
      <c r="J68" s="18"/>
      <c r="K68" s="19">
        <v>1.4999260000000001</v>
      </c>
      <c r="L68" s="19">
        <v>3.7185000000000003E-2</v>
      </c>
      <c r="M68" s="13">
        <f t="shared" si="5"/>
        <v>5.5774748310000011E-2</v>
      </c>
      <c r="N68" s="19">
        <v>1.8007169999999999</v>
      </c>
      <c r="O68" s="19">
        <v>1.3209999999999999E-3</v>
      </c>
      <c r="P68" s="13">
        <f t="shared" ref="P68:P69" si="14">N68*O68</f>
        <v>2.3787471569999999E-3</v>
      </c>
      <c r="Q68" s="19">
        <v>0.99804300000000001</v>
      </c>
      <c r="R68" s="19">
        <v>2.813E-3</v>
      </c>
      <c r="S68" s="13">
        <f t="shared" si="6"/>
        <v>2.8074949589999999E-3</v>
      </c>
      <c r="T68" s="19">
        <v>1.7998130000000001</v>
      </c>
      <c r="U68" s="19">
        <v>5.6369999999999996E-3</v>
      </c>
      <c r="V68" s="13">
        <f t="shared" ref="V68:V69" si="15">T68*U68</f>
        <v>1.0145545880999999E-2</v>
      </c>
      <c r="W68" s="19">
        <v>0.99888600000000005</v>
      </c>
      <c r="X68" s="19">
        <v>3.542E-2</v>
      </c>
      <c r="Y68" s="13">
        <f t="shared" ref="Y68:Y69" si="16">W68*X68</f>
        <v>3.5380542120000004E-2</v>
      </c>
      <c r="Z68" s="14">
        <f t="shared" ref="Z68:Z69" si="17">M68+P68+S68+V68+Y68</f>
        <v>0.106487078427</v>
      </c>
    </row>
    <row r="69" spans="1:26" x14ac:dyDescent="0.7">
      <c r="A69" s="16">
        <v>32</v>
      </c>
      <c r="B69" s="9">
        <v>19000</v>
      </c>
      <c r="C69" s="3">
        <v>-11.644645990928639</v>
      </c>
      <c r="D69" s="15">
        <f>C69+E69</f>
        <v>-4.6709648433946649</v>
      </c>
      <c r="E69" s="15">
        <v>6.9736811475339744</v>
      </c>
      <c r="F69" s="18" t="s">
        <v>39</v>
      </c>
      <c r="G69" s="18" t="s">
        <v>40</v>
      </c>
      <c r="K69" s="7">
        <v>1.4999260000000001</v>
      </c>
      <c r="L69" s="7">
        <v>3.7511000000000003E-2</v>
      </c>
      <c r="M69" s="13">
        <f t="shared" si="5"/>
        <v>5.6263724186000008E-2</v>
      </c>
      <c r="N69" s="7">
        <v>1.8007169999999999</v>
      </c>
      <c r="O69" s="7">
        <v>1.3209999999999999E-3</v>
      </c>
      <c r="P69" s="13">
        <f t="shared" si="14"/>
        <v>2.3787471569999999E-3</v>
      </c>
      <c r="Q69" s="7">
        <v>0.99804300000000001</v>
      </c>
      <c r="R69" s="7">
        <v>2.813E-3</v>
      </c>
      <c r="S69" s="13">
        <f t="shared" si="6"/>
        <v>2.8074949589999999E-3</v>
      </c>
      <c r="T69" s="7">
        <v>1.7998130000000001</v>
      </c>
      <c r="U69" s="7">
        <v>5.6319999999999999E-3</v>
      </c>
      <c r="V69" s="13">
        <f t="shared" si="15"/>
        <v>1.0136546816E-2</v>
      </c>
      <c r="W69" s="7">
        <v>0.99888600000000005</v>
      </c>
      <c r="X69" s="7">
        <v>3.542E-2</v>
      </c>
      <c r="Y69" s="13">
        <f t="shared" si="16"/>
        <v>3.5380542120000004E-2</v>
      </c>
      <c r="Z69" s="14">
        <f t="shared" si="17"/>
        <v>0.10696705523800001</v>
      </c>
    </row>
  </sheetData>
  <autoFilter ref="A1:Z68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6">
    <mergeCell ref="F1:F2"/>
    <mergeCell ref="A1:A2"/>
    <mergeCell ref="B1:B2"/>
    <mergeCell ref="C1:C2"/>
    <mergeCell ref="D1:D2"/>
    <mergeCell ref="E1:E2"/>
    <mergeCell ref="Q1:S1"/>
    <mergeCell ref="T1:V1"/>
    <mergeCell ref="W1:Y1"/>
    <mergeCell ref="Z1:Z2"/>
    <mergeCell ref="G1:G2"/>
    <mergeCell ref="H1:H2"/>
    <mergeCell ref="I1:I2"/>
    <mergeCell ref="J1:J2"/>
    <mergeCell ref="K1:M1"/>
    <mergeCell ref="N1:P1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6AC8-1CFD-42E9-BB0A-44DDCE9AF2F6}">
  <sheetPr>
    <tabColor theme="7" tint="0.79998168889431442"/>
  </sheetPr>
  <dimension ref="A1:AH100"/>
  <sheetViews>
    <sheetView showGridLines="0" zoomScale="70" zoomScaleNormal="70" workbookViewId="0">
      <pane ySplit="2" topLeftCell="A12" activePane="bottomLeft" state="frozen"/>
      <selection activeCell="X24" sqref="X24"/>
      <selection pane="bottomLeft" activeCell="Y59" sqref="Y59"/>
    </sheetView>
  </sheetViews>
  <sheetFormatPr defaultRowHeight="18" x14ac:dyDescent="0.6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14.375" style="3" bestFit="1" customWidth="1"/>
    <col min="7" max="7" width="9.375" style="5" bestFit="1" customWidth="1"/>
    <col min="8" max="8" width="8.375" style="5" bestFit="1" customWidth="1"/>
    <col min="9" max="9" width="8.375" style="5" customWidth="1"/>
    <col min="10" max="10" width="15.25" style="3" bestFit="1" customWidth="1"/>
    <col min="11" max="11" width="7.125" style="5" bestFit="1" customWidth="1"/>
    <col min="12" max="13" width="6.75" style="7" bestFit="1" customWidth="1"/>
    <col min="14" max="14" width="8.75" style="7" bestFit="1" customWidth="1"/>
    <col min="15" max="16" width="6.75" style="7" bestFit="1" customWidth="1"/>
    <col min="17" max="17" width="14.375" style="7" bestFit="1" customWidth="1"/>
    <col min="18" max="19" width="6.75" style="7" bestFit="1" customWidth="1"/>
    <col min="20" max="20" width="13.125" style="7" bestFit="1" customWidth="1"/>
    <col min="21" max="22" width="6.75" style="7" bestFit="1" customWidth="1"/>
    <col min="23" max="23" width="15.25" style="7" bestFit="1" customWidth="1"/>
    <col min="24" max="25" width="6.75" style="7" bestFit="1" customWidth="1"/>
    <col min="26" max="26" width="15.25" style="7" bestFit="1" customWidth="1"/>
    <col min="27" max="27" width="9.75" style="7" bestFit="1" customWidth="1"/>
    <col min="29" max="16384" width="9" style="1"/>
  </cols>
  <sheetData>
    <row r="1" spans="1:34" ht="19.5" customHeight="1" x14ac:dyDescent="0.6">
      <c r="A1" s="62" t="s">
        <v>12</v>
      </c>
      <c r="B1" s="64" t="s">
        <v>23</v>
      </c>
      <c r="C1" s="66" t="s">
        <v>24</v>
      </c>
      <c r="D1" s="66" t="s">
        <v>25</v>
      </c>
      <c r="E1" s="66" t="s">
        <v>26</v>
      </c>
      <c r="F1" s="66" t="s">
        <v>30</v>
      </c>
      <c r="G1" s="67" t="s">
        <v>4</v>
      </c>
      <c r="H1" s="67" t="s">
        <v>5</v>
      </c>
      <c r="I1" s="66" t="s">
        <v>21</v>
      </c>
      <c r="J1" s="66" t="s">
        <v>27</v>
      </c>
      <c r="K1" s="58" t="s">
        <v>28</v>
      </c>
      <c r="L1" s="57" t="s">
        <v>41</v>
      </c>
      <c r="M1" s="57"/>
      <c r="N1" s="57"/>
      <c r="O1" s="57" t="s">
        <v>0</v>
      </c>
      <c r="P1" s="57"/>
      <c r="Q1" s="57"/>
      <c r="R1" s="57" t="s">
        <v>1</v>
      </c>
      <c r="S1" s="57"/>
      <c r="T1" s="57"/>
      <c r="U1" s="57" t="s">
        <v>2</v>
      </c>
      <c r="V1" s="57"/>
      <c r="W1" s="57"/>
      <c r="X1" s="57" t="s">
        <v>35</v>
      </c>
      <c r="Y1" s="57"/>
      <c r="Z1" s="57"/>
      <c r="AA1" s="60" t="s">
        <v>29</v>
      </c>
      <c r="AB1" s="44" t="s">
        <v>33</v>
      </c>
      <c r="AD1" s="42" t="s">
        <v>31</v>
      </c>
      <c r="AE1" s="43">
        <v>19.3</v>
      </c>
      <c r="AF1" s="43" t="s">
        <v>32</v>
      </c>
    </row>
    <row r="2" spans="1:34" s="2" customFormat="1" ht="19.5" customHeight="1" x14ac:dyDescent="0.6">
      <c r="A2" s="63"/>
      <c r="B2" s="65"/>
      <c r="C2" s="55"/>
      <c r="D2" s="55"/>
      <c r="E2" s="55"/>
      <c r="F2" s="55"/>
      <c r="G2" s="68"/>
      <c r="H2" s="68"/>
      <c r="I2" s="55"/>
      <c r="J2" s="55"/>
      <c r="K2" s="59"/>
      <c r="L2" s="20" t="s">
        <v>3</v>
      </c>
      <c r="M2" s="20" t="s">
        <v>7</v>
      </c>
      <c r="N2" s="20" t="s">
        <v>6</v>
      </c>
      <c r="O2" s="20" t="s">
        <v>3</v>
      </c>
      <c r="P2" s="20" t="s">
        <v>7</v>
      </c>
      <c r="Q2" s="20" t="s">
        <v>8</v>
      </c>
      <c r="R2" s="20" t="s">
        <v>3</v>
      </c>
      <c r="S2" s="20" t="s">
        <v>7</v>
      </c>
      <c r="T2" s="20" t="s">
        <v>9</v>
      </c>
      <c r="U2" s="20" t="s">
        <v>3</v>
      </c>
      <c r="V2" s="20" t="s">
        <v>7</v>
      </c>
      <c r="W2" s="20" t="s">
        <v>10</v>
      </c>
      <c r="X2" s="20" t="s">
        <v>3</v>
      </c>
      <c r="Y2" s="20" t="s">
        <v>7</v>
      </c>
      <c r="Z2" s="20" t="s">
        <v>11</v>
      </c>
      <c r="AA2" s="61"/>
      <c r="AB2" s="45" t="s">
        <v>31</v>
      </c>
    </row>
    <row r="3" spans="1:34" x14ac:dyDescent="0.7">
      <c r="A3" s="8">
        <v>0</v>
      </c>
      <c r="B3" s="9">
        <v>19000</v>
      </c>
      <c r="C3" s="10">
        <v>-44.020450186761437</v>
      </c>
      <c r="D3" s="10">
        <f>C3+E3</f>
        <v>-2.5442669433946676</v>
      </c>
      <c r="E3" s="10">
        <v>41.476183243366769</v>
      </c>
      <c r="F3" s="10">
        <f>E3</f>
        <v>41.476183243366769</v>
      </c>
      <c r="G3" s="11" t="s">
        <v>14</v>
      </c>
      <c r="H3" s="11" t="s">
        <v>17</v>
      </c>
      <c r="I3" s="11"/>
      <c r="J3" s="10"/>
      <c r="K3" s="12"/>
      <c r="L3" s="13">
        <v>1.4999260000000001</v>
      </c>
      <c r="M3" s="13">
        <v>2.6478999999999999E-2</v>
      </c>
      <c r="N3" s="13">
        <f>L3*M3</f>
        <v>3.9716540554E-2</v>
      </c>
      <c r="O3" s="13">
        <v>1.8007169999999999</v>
      </c>
      <c r="P3" s="13">
        <v>1.2130000000000001E-3</v>
      </c>
      <c r="Q3" s="13">
        <f t="shared" ref="Q3:Q66" si="0">O3*P3</f>
        <v>2.1842697210000001E-3</v>
      </c>
      <c r="R3" s="13">
        <v>0.99804300000000001</v>
      </c>
      <c r="S3" s="13">
        <v>2.8149999999999998E-3</v>
      </c>
      <c r="T3" s="13">
        <f>R3*S3</f>
        <v>2.8094910449999997E-3</v>
      </c>
      <c r="U3" s="13">
        <v>1.7998130000000001</v>
      </c>
      <c r="V3" s="13">
        <v>5.7450000000000001E-3</v>
      </c>
      <c r="W3" s="13">
        <f t="shared" ref="W3:W66" si="1">U3*V3</f>
        <v>1.0339925685000001E-2</v>
      </c>
      <c r="X3" s="13">
        <v>0.99888600000000005</v>
      </c>
      <c r="Y3" s="13">
        <v>3.4632000000000003E-2</v>
      </c>
      <c r="Z3" s="13">
        <f t="shared" ref="Z3:Z66" si="2">X3*Y3</f>
        <v>3.4593419952000007E-2</v>
      </c>
      <c r="AA3" s="15">
        <f t="shared" ref="AA3:AA66" si="3">N3+Q3+T3+W3+Z3</f>
        <v>8.9643646957000001E-2</v>
      </c>
      <c r="AB3" s="46">
        <f>AA3-(AE1/1000)</f>
        <v>7.0343646957000003E-2</v>
      </c>
      <c r="AH3" s="31">
        <f>F3-F66</f>
        <v>15.75</v>
      </c>
    </row>
    <row r="4" spans="1:34" x14ac:dyDescent="0.7">
      <c r="A4" s="8">
        <v>1</v>
      </c>
      <c r="B4" s="9">
        <v>19000</v>
      </c>
      <c r="C4" s="10">
        <v>-44.020450186761437</v>
      </c>
      <c r="D4" s="10">
        <f t="shared" ref="D4:D69" si="4">C4+E4</f>
        <v>-2.5439779433946796</v>
      </c>
      <c r="E4" s="10">
        <v>41.476472243366757</v>
      </c>
      <c r="F4" s="10">
        <f>F3-0.25</f>
        <v>41.226183243366769</v>
      </c>
      <c r="G4" s="11" t="s">
        <v>14</v>
      </c>
      <c r="H4" s="11" t="s">
        <v>17</v>
      </c>
      <c r="I4" s="11"/>
      <c r="J4" s="10"/>
      <c r="K4" s="12"/>
      <c r="L4" s="13">
        <v>1.4999260000000001</v>
      </c>
      <c r="M4" s="13">
        <v>2.6460000000000001E-2</v>
      </c>
      <c r="N4" s="13">
        <f t="shared" ref="N4:N66" si="5">L4*M4</f>
        <v>3.9688041960000003E-2</v>
      </c>
      <c r="O4" s="13">
        <v>1.8007169999999999</v>
      </c>
      <c r="P4" s="13">
        <v>1.2130000000000001E-3</v>
      </c>
      <c r="Q4" s="13">
        <f t="shared" si="0"/>
        <v>2.1842697210000001E-3</v>
      </c>
      <c r="R4" s="13">
        <v>0.99804300000000001</v>
      </c>
      <c r="S4" s="13">
        <v>2.8170000000000001E-3</v>
      </c>
      <c r="T4" s="13">
        <f t="shared" ref="T4:T66" si="6">R4*S4</f>
        <v>2.811487131E-3</v>
      </c>
      <c r="U4" s="13">
        <v>1.7998130000000001</v>
      </c>
      <c r="V4" s="13">
        <v>5.738E-3</v>
      </c>
      <c r="W4" s="13">
        <f t="shared" si="1"/>
        <v>1.0327326994E-2</v>
      </c>
      <c r="X4" s="13">
        <v>0.99888600000000005</v>
      </c>
      <c r="Y4" s="13">
        <v>3.4696999999999999E-2</v>
      </c>
      <c r="Z4" s="13">
        <f t="shared" si="2"/>
        <v>3.4658347542E-2</v>
      </c>
      <c r="AA4" s="15">
        <f t="shared" si="3"/>
        <v>8.9669473347999989E-2</v>
      </c>
      <c r="AB4" s="46">
        <f t="shared" ref="AB4:AB67" si="7">AA4-(AE2/1000)</f>
        <v>8.9669473347999989E-2</v>
      </c>
      <c r="AH4" s="31">
        <f>E3-E66</f>
        <v>16.852247899999998</v>
      </c>
    </row>
    <row r="5" spans="1:34" x14ac:dyDescent="0.7">
      <c r="A5" s="8">
        <v>2</v>
      </c>
      <c r="B5" s="9">
        <v>19000</v>
      </c>
      <c r="C5" s="10">
        <v>-44.020450186761437</v>
      </c>
      <c r="D5" s="10">
        <f t="shared" si="4"/>
        <v>-2.5921892433946638</v>
      </c>
      <c r="E5" s="10">
        <v>41.428260943366773</v>
      </c>
      <c r="F5" s="10">
        <f t="shared" ref="F5:F66" si="8">F4-0.25</f>
        <v>40.976183243366769</v>
      </c>
      <c r="G5" s="11" t="s">
        <v>13</v>
      </c>
      <c r="H5" s="11" t="s">
        <v>16</v>
      </c>
      <c r="I5" s="11"/>
      <c r="J5" s="10"/>
      <c r="K5" s="12"/>
      <c r="L5" s="13">
        <v>1.4999260000000001</v>
      </c>
      <c r="M5" s="13">
        <v>2.647E-2</v>
      </c>
      <c r="N5" s="13">
        <f t="shared" si="5"/>
        <v>3.9703041220000006E-2</v>
      </c>
      <c r="O5" s="13">
        <v>1.8007169999999999</v>
      </c>
      <c r="P5" s="13">
        <v>1.2130000000000001E-3</v>
      </c>
      <c r="Q5" s="13">
        <f t="shared" si="0"/>
        <v>2.1842697210000001E-3</v>
      </c>
      <c r="R5" s="13">
        <v>0.99804300000000001</v>
      </c>
      <c r="S5" s="13">
        <v>2.8180000000000002E-3</v>
      </c>
      <c r="T5" s="13">
        <f t="shared" si="6"/>
        <v>2.8124851740000002E-3</v>
      </c>
      <c r="U5" s="13">
        <v>1.7998130000000001</v>
      </c>
      <c r="V5" s="13">
        <v>5.7390000000000002E-3</v>
      </c>
      <c r="W5" s="13">
        <f t="shared" si="1"/>
        <v>1.0329126807000001E-2</v>
      </c>
      <c r="X5" s="13">
        <v>0.99888600000000005</v>
      </c>
      <c r="Y5" s="13">
        <v>3.4696999999999999E-2</v>
      </c>
      <c r="Z5" s="13">
        <f t="shared" si="2"/>
        <v>3.4658347542E-2</v>
      </c>
      <c r="AA5" s="15">
        <f t="shared" si="3"/>
        <v>8.9687270464000005E-2</v>
      </c>
      <c r="AB5" s="46">
        <f t="shared" si="7"/>
        <v>8.9687270464000005E-2</v>
      </c>
    </row>
    <row r="6" spans="1:34" x14ac:dyDescent="0.7">
      <c r="A6" s="8">
        <v>3</v>
      </c>
      <c r="B6" s="9">
        <v>19000</v>
      </c>
      <c r="C6" s="10">
        <v>-44.020450186761437</v>
      </c>
      <c r="D6" s="10">
        <f t="shared" si="4"/>
        <v>-2.6358900433946673</v>
      </c>
      <c r="E6" s="10">
        <v>41.38456014336677</v>
      </c>
      <c r="F6" s="10">
        <f t="shared" si="8"/>
        <v>40.726183243366769</v>
      </c>
      <c r="G6" s="11" t="s">
        <v>13</v>
      </c>
      <c r="H6" s="11" t="s">
        <v>16</v>
      </c>
      <c r="I6" s="11"/>
      <c r="J6" s="10"/>
      <c r="K6" s="12"/>
      <c r="L6" s="13">
        <v>1.4999260000000001</v>
      </c>
      <c r="M6" s="13">
        <v>2.6453999999999998E-2</v>
      </c>
      <c r="N6" s="13">
        <f t="shared" si="5"/>
        <v>3.9679042403999998E-2</v>
      </c>
      <c r="O6" s="13">
        <v>1.8007169999999999</v>
      </c>
      <c r="P6" s="13">
        <v>1.2130000000000001E-3</v>
      </c>
      <c r="Q6" s="13">
        <f t="shared" si="0"/>
        <v>2.1842697210000001E-3</v>
      </c>
      <c r="R6" s="13">
        <v>0.99804300000000001</v>
      </c>
      <c r="S6" s="13">
        <v>2.82E-3</v>
      </c>
      <c r="T6" s="13">
        <f t="shared" si="6"/>
        <v>2.81448126E-3</v>
      </c>
      <c r="U6" s="13">
        <v>1.8000130000000001</v>
      </c>
      <c r="V6" s="13">
        <v>5.7359999999999998E-3</v>
      </c>
      <c r="W6" s="13">
        <f t="shared" si="1"/>
        <v>1.0324874568000001E-2</v>
      </c>
      <c r="X6" s="13">
        <v>0.99888600000000005</v>
      </c>
      <c r="Y6" s="13">
        <v>3.4632000000000003E-2</v>
      </c>
      <c r="Z6" s="13">
        <f t="shared" si="2"/>
        <v>3.4593419952000007E-2</v>
      </c>
      <c r="AA6" s="15">
        <f t="shared" si="3"/>
        <v>8.959608790500001E-2</v>
      </c>
      <c r="AB6" s="46">
        <f t="shared" si="7"/>
        <v>8.959608790500001E-2</v>
      </c>
    </row>
    <row r="7" spans="1:34" x14ac:dyDescent="0.7">
      <c r="A7" s="8">
        <v>4</v>
      </c>
      <c r="B7" s="9">
        <v>19000</v>
      </c>
      <c r="C7" s="10">
        <v>-44.020450186761437</v>
      </c>
      <c r="D7" s="10">
        <f t="shared" si="4"/>
        <v>-3.1479115433946703</v>
      </c>
      <c r="E7" s="10">
        <v>40.872538643366767</v>
      </c>
      <c r="F7" s="10">
        <f t="shared" si="8"/>
        <v>40.476183243366769</v>
      </c>
      <c r="G7" s="11" t="s">
        <v>13</v>
      </c>
      <c r="H7" s="11" t="s">
        <v>16</v>
      </c>
      <c r="I7" s="11"/>
      <c r="J7" s="10"/>
      <c r="K7" s="12"/>
      <c r="L7" s="13">
        <v>1.4999260000000001</v>
      </c>
      <c r="M7" s="13">
        <v>2.6394000000000001E-2</v>
      </c>
      <c r="N7" s="13">
        <f t="shared" si="5"/>
        <v>3.9589046844000005E-2</v>
      </c>
      <c r="O7" s="13">
        <v>1.8007169999999999</v>
      </c>
      <c r="P7" s="13">
        <v>1.2130000000000001E-3</v>
      </c>
      <c r="Q7" s="13">
        <f t="shared" si="0"/>
        <v>2.1842697210000001E-3</v>
      </c>
      <c r="R7" s="13">
        <v>0.99804300000000001</v>
      </c>
      <c r="S7" s="13">
        <v>2.8189999999999999E-3</v>
      </c>
      <c r="T7" s="13">
        <f t="shared" si="6"/>
        <v>2.8134832169999999E-3</v>
      </c>
      <c r="U7" s="13">
        <v>1.7998130000000001</v>
      </c>
      <c r="V7" s="13">
        <v>5.7390000000000002E-3</v>
      </c>
      <c r="W7" s="13">
        <f t="shared" si="1"/>
        <v>1.0329126807000001E-2</v>
      </c>
      <c r="X7" s="13">
        <v>0.99888600000000005</v>
      </c>
      <c r="Y7" s="13">
        <v>3.4632000000000003E-2</v>
      </c>
      <c r="Z7" s="13">
        <f t="shared" si="2"/>
        <v>3.4593419952000007E-2</v>
      </c>
      <c r="AA7" s="15">
        <f t="shared" si="3"/>
        <v>8.9509346541000012E-2</v>
      </c>
      <c r="AB7" s="46">
        <f t="shared" si="7"/>
        <v>8.9509346541000012E-2</v>
      </c>
    </row>
    <row r="8" spans="1:34" x14ac:dyDescent="0.7">
      <c r="A8" s="8">
        <v>5</v>
      </c>
      <c r="B8" s="9">
        <v>19000</v>
      </c>
      <c r="C8" s="10">
        <v>-44.020450186761437</v>
      </c>
      <c r="D8" s="10">
        <f t="shared" si="4"/>
        <v>-3.20860994339467</v>
      </c>
      <c r="E8" s="10">
        <v>40.811840243366767</v>
      </c>
      <c r="F8" s="10">
        <f t="shared" si="8"/>
        <v>40.226183243366769</v>
      </c>
      <c r="G8" s="11" t="s">
        <v>13</v>
      </c>
      <c r="H8" s="11" t="s">
        <v>16</v>
      </c>
      <c r="I8" s="11"/>
      <c r="J8" s="10"/>
      <c r="K8" s="12"/>
      <c r="L8" s="13">
        <v>1.4999260000000001</v>
      </c>
      <c r="M8" s="13">
        <v>2.6401000000000001E-2</v>
      </c>
      <c r="N8" s="13">
        <f t="shared" si="5"/>
        <v>3.9599546326000004E-2</v>
      </c>
      <c r="O8" s="13">
        <v>1.799882</v>
      </c>
      <c r="P8" s="13">
        <v>1.2130000000000001E-3</v>
      </c>
      <c r="Q8" s="13">
        <f t="shared" si="0"/>
        <v>2.1832568660000002E-3</v>
      </c>
      <c r="R8" s="13">
        <v>0.99804300000000001</v>
      </c>
      <c r="S8" s="13">
        <v>2.8210000000000002E-3</v>
      </c>
      <c r="T8" s="13">
        <f t="shared" si="6"/>
        <v>2.8154793030000002E-3</v>
      </c>
      <c r="U8" s="13">
        <v>1.8000130000000001</v>
      </c>
      <c r="V8" s="13">
        <v>5.7340000000000004E-3</v>
      </c>
      <c r="W8" s="13">
        <f t="shared" si="1"/>
        <v>1.0321274542000001E-2</v>
      </c>
      <c r="X8" s="13">
        <v>0.99888600000000005</v>
      </c>
      <c r="Y8" s="13">
        <v>3.4632000000000003E-2</v>
      </c>
      <c r="Z8" s="13">
        <f t="shared" si="2"/>
        <v>3.4593419952000007E-2</v>
      </c>
      <c r="AA8" s="15">
        <f t="shared" si="3"/>
        <v>8.9512976989000015E-2</v>
      </c>
      <c r="AB8" s="46">
        <f t="shared" si="7"/>
        <v>8.9512976989000015E-2</v>
      </c>
    </row>
    <row r="9" spans="1:34" x14ac:dyDescent="0.7">
      <c r="A9" s="8">
        <v>6</v>
      </c>
      <c r="B9" s="9">
        <v>19000</v>
      </c>
      <c r="C9" s="10">
        <v>-44.020450186761437</v>
      </c>
      <c r="D9" s="10">
        <f t="shared" si="4"/>
        <v>-3.2450999433946635</v>
      </c>
      <c r="E9" s="10">
        <v>40.775350243366773</v>
      </c>
      <c r="F9" s="10">
        <f t="shared" si="8"/>
        <v>39.976183243366769</v>
      </c>
      <c r="G9" s="11" t="s">
        <v>13</v>
      </c>
      <c r="H9" s="11" t="s">
        <v>16</v>
      </c>
      <c r="I9" s="11"/>
      <c r="J9" s="10"/>
      <c r="K9" s="12"/>
      <c r="L9" s="13">
        <v>1.5001260000000001</v>
      </c>
      <c r="M9" s="13">
        <v>2.6405000000000001E-2</v>
      </c>
      <c r="N9" s="13">
        <f t="shared" si="5"/>
        <v>3.9610827030000004E-2</v>
      </c>
      <c r="O9" s="13">
        <v>1.8007169999999999</v>
      </c>
      <c r="P9" s="13">
        <v>1.2130000000000001E-3</v>
      </c>
      <c r="Q9" s="13">
        <f t="shared" si="0"/>
        <v>2.1842697210000001E-3</v>
      </c>
      <c r="R9" s="13">
        <v>0.99804300000000001</v>
      </c>
      <c r="S9" s="13">
        <v>2.8210000000000002E-3</v>
      </c>
      <c r="T9" s="13">
        <f t="shared" si="6"/>
        <v>2.8154793030000002E-3</v>
      </c>
      <c r="U9" s="13">
        <v>1.8000130000000001</v>
      </c>
      <c r="V9" s="13">
        <v>5.7340000000000004E-3</v>
      </c>
      <c r="W9" s="13">
        <f t="shared" si="1"/>
        <v>1.0321274542000001E-2</v>
      </c>
      <c r="X9" s="13">
        <v>0.99888600000000005</v>
      </c>
      <c r="Y9" s="13">
        <v>3.4632000000000003E-2</v>
      </c>
      <c r="Z9" s="13">
        <f t="shared" si="2"/>
        <v>3.4593419952000007E-2</v>
      </c>
      <c r="AA9" s="15">
        <f t="shared" si="3"/>
        <v>8.952527054800001E-2</v>
      </c>
      <c r="AB9" s="46">
        <f t="shared" si="7"/>
        <v>8.952527054800001E-2</v>
      </c>
    </row>
    <row r="10" spans="1:34" x14ac:dyDescent="0.7">
      <c r="A10" s="8">
        <v>7</v>
      </c>
      <c r="B10" s="9">
        <v>19000</v>
      </c>
      <c r="C10" s="10">
        <v>-44.020450186761437</v>
      </c>
      <c r="D10" s="10">
        <f t="shared" si="4"/>
        <v>-3.3001392433946677</v>
      </c>
      <c r="E10" s="10">
        <v>40.720310943366769</v>
      </c>
      <c r="F10" s="10">
        <f t="shared" si="8"/>
        <v>39.726183243366769</v>
      </c>
      <c r="G10" s="11" t="s">
        <v>13</v>
      </c>
      <c r="H10" s="11" t="s">
        <v>16</v>
      </c>
      <c r="I10" s="11"/>
      <c r="J10" s="10"/>
      <c r="K10" s="12"/>
      <c r="L10" s="13">
        <v>1.4999260000000001</v>
      </c>
      <c r="M10" s="13">
        <v>2.6402999999999999E-2</v>
      </c>
      <c r="N10" s="13">
        <f t="shared" si="5"/>
        <v>3.9602546177999999E-2</v>
      </c>
      <c r="O10" s="13">
        <v>1.8007169999999999</v>
      </c>
      <c r="P10" s="13">
        <v>1.2130000000000001E-3</v>
      </c>
      <c r="Q10" s="13">
        <f t="shared" si="0"/>
        <v>2.1842697210000001E-3</v>
      </c>
      <c r="R10" s="13">
        <v>0.99804300000000001</v>
      </c>
      <c r="S10" s="13">
        <v>2.823E-3</v>
      </c>
      <c r="T10" s="13">
        <f t="shared" si="6"/>
        <v>2.817475389E-3</v>
      </c>
      <c r="U10" s="13">
        <v>1.7998130000000001</v>
      </c>
      <c r="V10" s="13">
        <v>5.7390000000000002E-3</v>
      </c>
      <c r="W10" s="13">
        <f t="shared" si="1"/>
        <v>1.0329126807000001E-2</v>
      </c>
      <c r="X10" s="13">
        <v>0.99888600000000005</v>
      </c>
      <c r="Y10" s="13">
        <v>3.4696999999999999E-2</v>
      </c>
      <c r="Z10" s="13">
        <f t="shared" si="2"/>
        <v>3.4658347542E-2</v>
      </c>
      <c r="AA10" s="15">
        <f t="shared" si="3"/>
        <v>8.9591765636999998E-2</v>
      </c>
      <c r="AB10" s="46">
        <f t="shared" si="7"/>
        <v>8.9591765636999998E-2</v>
      </c>
    </row>
    <row r="11" spans="1:34" x14ac:dyDescent="0.7">
      <c r="A11" s="8">
        <v>8</v>
      </c>
      <c r="B11" s="9">
        <v>19000</v>
      </c>
      <c r="C11" s="10">
        <v>-44.020450186761437</v>
      </c>
      <c r="D11" s="10">
        <f t="shared" si="4"/>
        <v>-4.6397354433946703</v>
      </c>
      <c r="E11" s="10">
        <v>39.380714743366767</v>
      </c>
      <c r="F11" s="10">
        <f t="shared" si="8"/>
        <v>39.476183243366769</v>
      </c>
      <c r="G11" s="11" t="s">
        <v>13</v>
      </c>
      <c r="H11" s="11" t="s">
        <v>16</v>
      </c>
      <c r="I11" s="11"/>
      <c r="J11" s="10"/>
      <c r="K11" s="12"/>
      <c r="L11" s="13">
        <v>1.5001260000000001</v>
      </c>
      <c r="M11" s="13">
        <v>2.6298999999999999E-2</v>
      </c>
      <c r="N11" s="13">
        <f t="shared" si="5"/>
        <v>3.9451813674000004E-2</v>
      </c>
      <c r="O11" s="13">
        <v>1.8007169999999999</v>
      </c>
      <c r="P11" s="13">
        <v>1.212E-3</v>
      </c>
      <c r="Q11" s="13">
        <f t="shared" si="0"/>
        <v>2.1824690039999998E-3</v>
      </c>
      <c r="R11" s="13">
        <v>0.99804300000000001</v>
      </c>
      <c r="S11" s="13">
        <v>2.8119999999999998E-3</v>
      </c>
      <c r="T11" s="13">
        <f t="shared" si="6"/>
        <v>2.8064969159999997E-3</v>
      </c>
      <c r="U11" s="13">
        <v>1.7998130000000001</v>
      </c>
      <c r="V11" s="13">
        <v>5.738E-3</v>
      </c>
      <c r="W11" s="13">
        <f t="shared" si="1"/>
        <v>1.0327326994E-2</v>
      </c>
      <c r="X11" s="13">
        <v>0.99888600000000005</v>
      </c>
      <c r="Y11" s="13">
        <v>3.4696999999999999E-2</v>
      </c>
      <c r="Z11" s="13">
        <f t="shared" si="2"/>
        <v>3.4658347542E-2</v>
      </c>
      <c r="AA11" s="15">
        <f t="shared" si="3"/>
        <v>8.9426454129999999E-2</v>
      </c>
      <c r="AB11" s="46">
        <f t="shared" si="7"/>
        <v>8.9426454129999999E-2</v>
      </c>
    </row>
    <row r="12" spans="1:34" x14ac:dyDescent="0.7">
      <c r="A12" s="8">
        <v>9</v>
      </c>
      <c r="B12" s="9">
        <v>19000</v>
      </c>
      <c r="C12" s="10">
        <v>-44.020450186761437</v>
      </c>
      <c r="D12" s="10">
        <f t="shared" si="4"/>
        <v>-4.6995620433946641</v>
      </c>
      <c r="E12" s="10">
        <v>39.320888143366773</v>
      </c>
      <c r="F12" s="10">
        <f t="shared" si="8"/>
        <v>39.226183243366769</v>
      </c>
      <c r="G12" s="11" t="s">
        <v>13</v>
      </c>
      <c r="H12" s="11" t="s">
        <v>16</v>
      </c>
      <c r="I12" s="11"/>
      <c r="J12" s="10"/>
      <c r="K12" s="12"/>
      <c r="L12" s="13">
        <v>1.4999260000000001</v>
      </c>
      <c r="M12" s="13">
        <v>2.6315000000000002E-2</v>
      </c>
      <c r="N12" s="13">
        <f t="shared" si="5"/>
        <v>3.9470552690000008E-2</v>
      </c>
      <c r="O12" s="13">
        <v>1.8007169999999999</v>
      </c>
      <c r="P12" s="13">
        <v>1.2130000000000001E-3</v>
      </c>
      <c r="Q12" s="13">
        <f t="shared" si="0"/>
        <v>2.1842697210000001E-3</v>
      </c>
      <c r="R12" s="13">
        <v>0.99804300000000001</v>
      </c>
      <c r="S12" s="13">
        <v>2.8140000000000001E-3</v>
      </c>
      <c r="T12" s="13">
        <f t="shared" si="6"/>
        <v>2.808493002E-3</v>
      </c>
      <c r="U12" s="13">
        <v>1.7998130000000001</v>
      </c>
      <c r="V12" s="13">
        <v>5.7340000000000004E-3</v>
      </c>
      <c r="W12" s="13">
        <f t="shared" si="1"/>
        <v>1.0320127742000001E-2</v>
      </c>
      <c r="X12" s="13">
        <v>0.99888600000000005</v>
      </c>
      <c r="Y12" s="13">
        <v>3.4632000000000003E-2</v>
      </c>
      <c r="Z12" s="13">
        <f t="shared" si="2"/>
        <v>3.4593419952000007E-2</v>
      </c>
      <c r="AA12" s="15">
        <f t="shared" si="3"/>
        <v>8.9376863107000021E-2</v>
      </c>
      <c r="AB12" s="46">
        <f t="shared" si="7"/>
        <v>8.9376863107000021E-2</v>
      </c>
    </row>
    <row r="13" spans="1:34" x14ac:dyDescent="0.7">
      <c r="A13" s="8">
        <v>10</v>
      </c>
      <c r="B13" s="9">
        <v>19000</v>
      </c>
      <c r="C13" s="10">
        <v>-44.020450186761437</v>
      </c>
      <c r="D13" s="10">
        <f t="shared" si="4"/>
        <v>-4.7566265433946739</v>
      </c>
      <c r="E13" s="10">
        <v>39.263823643366763</v>
      </c>
      <c r="F13" s="10">
        <f t="shared" si="8"/>
        <v>38.976183243366769</v>
      </c>
      <c r="G13" s="11" t="s">
        <v>13</v>
      </c>
      <c r="H13" s="11" t="s">
        <v>16</v>
      </c>
      <c r="I13" s="11"/>
      <c r="J13" s="10"/>
      <c r="K13" s="12"/>
      <c r="L13" s="13">
        <v>1.4999260000000001</v>
      </c>
      <c r="M13" s="13">
        <v>2.631E-2</v>
      </c>
      <c r="N13" s="13">
        <f t="shared" si="5"/>
        <v>3.9463053060000003E-2</v>
      </c>
      <c r="O13" s="13">
        <v>1.8007169999999999</v>
      </c>
      <c r="P13" s="13">
        <v>1.2130000000000001E-3</v>
      </c>
      <c r="Q13" s="13">
        <f t="shared" si="0"/>
        <v>2.1842697210000001E-3</v>
      </c>
      <c r="R13" s="13">
        <v>0.99804300000000001</v>
      </c>
      <c r="S13" s="13">
        <v>2.8140000000000001E-3</v>
      </c>
      <c r="T13" s="13">
        <f t="shared" si="6"/>
        <v>2.808493002E-3</v>
      </c>
      <c r="U13" s="13">
        <v>1.7998130000000001</v>
      </c>
      <c r="V13" s="13">
        <v>5.7409999999999996E-3</v>
      </c>
      <c r="W13" s="13">
        <f t="shared" si="1"/>
        <v>1.0332726432999999E-2</v>
      </c>
      <c r="X13" s="13">
        <v>0.99888600000000005</v>
      </c>
      <c r="Y13" s="13">
        <v>3.4632000000000003E-2</v>
      </c>
      <c r="Z13" s="13">
        <f t="shared" si="2"/>
        <v>3.4593419952000007E-2</v>
      </c>
      <c r="AA13" s="15">
        <f t="shared" si="3"/>
        <v>8.9381962168000012E-2</v>
      </c>
      <c r="AB13" s="46">
        <f t="shared" si="7"/>
        <v>8.9381962168000012E-2</v>
      </c>
    </row>
    <row r="14" spans="1:34" x14ac:dyDescent="0.7">
      <c r="A14" s="8">
        <v>11</v>
      </c>
      <c r="B14" s="9">
        <v>19000</v>
      </c>
      <c r="C14" s="10">
        <v>-44.020450186761437</v>
      </c>
      <c r="D14" s="10">
        <f t="shared" si="4"/>
        <v>-4.7932031433946634</v>
      </c>
      <c r="E14" s="10">
        <v>39.227247043366773</v>
      </c>
      <c r="F14" s="10">
        <f t="shared" si="8"/>
        <v>38.726183243366769</v>
      </c>
      <c r="G14" s="11" t="s">
        <v>13</v>
      </c>
      <c r="H14" s="11" t="s">
        <v>16</v>
      </c>
      <c r="I14" s="11"/>
      <c r="J14" s="10"/>
      <c r="K14" s="12"/>
      <c r="L14" s="13">
        <v>1.4999260000000001</v>
      </c>
      <c r="M14" s="13">
        <v>2.6289E-2</v>
      </c>
      <c r="N14" s="13">
        <f t="shared" si="5"/>
        <v>3.9431554614000004E-2</v>
      </c>
      <c r="O14" s="13">
        <v>1.8007169999999999</v>
      </c>
      <c r="P14" s="13">
        <v>1.2130000000000001E-3</v>
      </c>
      <c r="Q14" s="13">
        <f t="shared" si="0"/>
        <v>2.1842697210000001E-3</v>
      </c>
      <c r="R14" s="13">
        <v>0.99804300000000001</v>
      </c>
      <c r="S14" s="13">
        <v>2.8159999999999999E-3</v>
      </c>
      <c r="T14" s="13">
        <f t="shared" si="6"/>
        <v>2.8104890879999999E-3</v>
      </c>
      <c r="U14" s="13">
        <v>1.7998130000000001</v>
      </c>
      <c r="V14" s="13">
        <v>5.738E-3</v>
      </c>
      <c r="W14" s="13">
        <f t="shared" si="1"/>
        <v>1.0327326994E-2</v>
      </c>
      <c r="X14" s="13">
        <v>0.99888600000000005</v>
      </c>
      <c r="Y14" s="13">
        <v>3.4632000000000003E-2</v>
      </c>
      <c r="Z14" s="13">
        <f t="shared" si="2"/>
        <v>3.4593419952000007E-2</v>
      </c>
      <c r="AA14" s="15">
        <f t="shared" si="3"/>
        <v>8.9347060369000003E-2</v>
      </c>
      <c r="AB14" s="46">
        <f t="shared" si="7"/>
        <v>8.9347060369000003E-2</v>
      </c>
    </row>
    <row r="15" spans="1:34" x14ac:dyDescent="0.7">
      <c r="A15" s="8">
        <v>12</v>
      </c>
      <c r="B15" s="9">
        <v>19000</v>
      </c>
      <c r="C15" s="10">
        <v>-44.020450186761437</v>
      </c>
      <c r="D15" s="10">
        <f t="shared" si="4"/>
        <v>-5.444245643394666</v>
      </c>
      <c r="E15" s="10">
        <v>38.576204543366771</v>
      </c>
      <c r="F15" s="10">
        <f t="shared" si="8"/>
        <v>38.476183243366769</v>
      </c>
      <c r="G15" s="11" t="s">
        <v>13</v>
      </c>
      <c r="H15" s="11" t="s">
        <v>16</v>
      </c>
      <c r="I15" s="11"/>
      <c r="J15" s="10"/>
      <c r="K15" s="12"/>
      <c r="L15" s="13">
        <v>1.4999260000000001</v>
      </c>
      <c r="M15" s="13">
        <v>2.6259999999999999E-2</v>
      </c>
      <c r="N15" s="13">
        <f t="shared" si="5"/>
        <v>3.9388056759999998E-2</v>
      </c>
      <c r="O15" s="13">
        <v>1.8007169999999999</v>
      </c>
      <c r="P15" s="13">
        <v>1.2130000000000001E-3</v>
      </c>
      <c r="Q15" s="13">
        <f t="shared" si="0"/>
        <v>2.1842697210000001E-3</v>
      </c>
      <c r="R15" s="13">
        <v>0.99804300000000001</v>
      </c>
      <c r="S15" s="13">
        <v>2.8140000000000001E-3</v>
      </c>
      <c r="T15" s="13">
        <f t="shared" si="6"/>
        <v>2.808493002E-3</v>
      </c>
      <c r="U15" s="13">
        <v>1.8000130000000001</v>
      </c>
      <c r="V15" s="13">
        <v>5.7340000000000004E-3</v>
      </c>
      <c r="W15" s="13">
        <f t="shared" si="1"/>
        <v>1.0321274542000001E-2</v>
      </c>
      <c r="X15" s="13">
        <v>0.99888600000000005</v>
      </c>
      <c r="Y15" s="13">
        <v>3.4566E-2</v>
      </c>
      <c r="Z15" s="13">
        <f t="shared" si="2"/>
        <v>3.4527493476000003E-2</v>
      </c>
      <c r="AA15" s="15">
        <f t="shared" si="3"/>
        <v>8.9229587500999991E-2</v>
      </c>
      <c r="AB15" s="46">
        <f t="shared" si="7"/>
        <v>8.9229587500999991E-2</v>
      </c>
    </row>
    <row r="16" spans="1:34" x14ac:dyDescent="0.7">
      <c r="A16" s="8">
        <v>13</v>
      </c>
      <c r="B16" s="9">
        <v>19000</v>
      </c>
      <c r="C16" s="10">
        <v>-44.020450186761437</v>
      </c>
      <c r="D16" s="10">
        <f t="shared" si="4"/>
        <v>-5.515296443394675</v>
      </c>
      <c r="E16" s="10">
        <v>38.505153743366762</v>
      </c>
      <c r="F16" s="10">
        <f t="shared" si="8"/>
        <v>38.226183243366769</v>
      </c>
      <c r="G16" s="11" t="s">
        <v>13</v>
      </c>
      <c r="H16" s="11" t="s">
        <v>16</v>
      </c>
      <c r="I16" s="11"/>
      <c r="J16" s="10"/>
      <c r="K16" s="12"/>
      <c r="L16" s="13">
        <v>1.4999260000000001</v>
      </c>
      <c r="M16" s="13">
        <v>2.6263999999999999E-2</v>
      </c>
      <c r="N16" s="13">
        <f t="shared" si="5"/>
        <v>3.9394056464000002E-2</v>
      </c>
      <c r="O16" s="13">
        <v>1.8007169999999999</v>
      </c>
      <c r="P16" s="13">
        <v>1.2130000000000001E-3</v>
      </c>
      <c r="Q16" s="13">
        <f t="shared" si="0"/>
        <v>2.1842697210000001E-3</v>
      </c>
      <c r="R16" s="13">
        <v>0.99804300000000001</v>
      </c>
      <c r="S16" s="13">
        <v>2.8159999999999999E-3</v>
      </c>
      <c r="T16" s="13">
        <f t="shared" si="6"/>
        <v>2.8104890879999999E-3</v>
      </c>
      <c r="U16" s="13">
        <v>1.7998130000000001</v>
      </c>
      <c r="V16" s="13">
        <v>5.7409999999999996E-3</v>
      </c>
      <c r="W16" s="13">
        <f t="shared" si="1"/>
        <v>1.0332726432999999E-2</v>
      </c>
      <c r="X16" s="13">
        <v>0.99888600000000005</v>
      </c>
      <c r="Y16" s="13">
        <v>3.4632000000000003E-2</v>
      </c>
      <c r="Z16" s="13">
        <f t="shared" si="2"/>
        <v>3.4593419952000007E-2</v>
      </c>
      <c r="AA16" s="15">
        <f t="shared" si="3"/>
        <v>8.9314961658000014E-2</v>
      </c>
      <c r="AB16" s="46">
        <f t="shared" si="7"/>
        <v>8.9314961658000014E-2</v>
      </c>
    </row>
    <row r="17" spans="1:28" x14ac:dyDescent="0.7">
      <c r="A17" s="8">
        <v>14</v>
      </c>
      <c r="B17" s="9">
        <v>19000</v>
      </c>
      <c r="C17" s="10">
        <v>-44.020450186761437</v>
      </c>
      <c r="D17" s="10">
        <f t="shared" si="4"/>
        <v>-5.5643099433946688</v>
      </c>
      <c r="E17" s="10">
        <v>38.456140243366768</v>
      </c>
      <c r="F17" s="10">
        <f t="shared" si="8"/>
        <v>37.976183243366769</v>
      </c>
      <c r="G17" s="11" t="s">
        <v>13</v>
      </c>
      <c r="H17" s="11" t="s">
        <v>16</v>
      </c>
      <c r="I17" s="11"/>
      <c r="J17" s="10"/>
      <c r="K17" s="12"/>
      <c r="L17" s="13">
        <v>1.5001260000000001</v>
      </c>
      <c r="M17" s="13">
        <v>2.6263999999999999E-2</v>
      </c>
      <c r="N17" s="13">
        <f t="shared" si="5"/>
        <v>3.9399309264000003E-2</v>
      </c>
      <c r="O17" s="13">
        <v>1.8007169999999999</v>
      </c>
      <c r="P17" s="13">
        <v>1.2130000000000001E-3</v>
      </c>
      <c r="Q17" s="13">
        <f t="shared" si="0"/>
        <v>2.1842697210000001E-3</v>
      </c>
      <c r="R17" s="13">
        <v>0.99804300000000001</v>
      </c>
      <c r="S17" s="13">
        <v>2.8159999999999999E-3</v>
      </c>
      <c r="T17" s="13">
        <f t="shared" si="6"/>
        <v>2.8104890879999999E-3</v>
      </c>
      <c r="U17" s="13">
        <v>1.8000130000000001</v>
      </c>
      <c r="V17" s="13">
        <v>5.7359999999999998E-3</v>
      </c>
      <c r="W17" s="13">
        <f t="shared" si="1"/>
        <v>1.0324874568000001E-2</v>
      </c>
      <c r="X17" s="13">
        <v>0.99888600000000005</v>
      </c>
      <c r="Y17" s="13">
        <v>3.4632000000000003E-2</v>
      </c>
      <c r="Z17" s="13">
        <f t="shared" si="2"/>
        <v>3.4593419952000007E-2</v>
      </c>
      <c r="AA17" s="15">
        <f t="shared" si="3"/>
        <v>8.9312362593000016E-2</v>
      </c>
      <c r="AB17" s="46">
        <f t="shared" si="7"/>
        <v>8.9312362593000016E-2</v>
      </c>
    </row>
    <row r="18" spans="1:28" x14ac:dyDescent="0.7">
      <c r="A18" s="8">
        <v>15</v>
      </c>
      <c r="B18" s="9">
        <v>19000</v>
      </c>
      <c r="C18" s="10">
        <v>-44.020450186761437</v>
      </c>
      <c r="D18" s="10">
        <f t="shared" si="4"/>
        <v>-5.626449843394667</v>
      </c>
      <c r="E18" s="10">
        <v>38.39400034336677</v>
      </c>
      <c r="F18" s="10">
        <f t="shared" si="8"/>
        <v>37.726183243366769</v>
      </c>
      <c r="G18" s="11" t="s">
        <v>13</v>
      </c>
      <c r="H18" s="11" t="s">
        <v>16</v>
      </c>
      <c r="I18" s="11"/>
      <c r="J18" s="10"/>
      <c r="K18" s="12"/>
      <c r="L18" s="13">
        <v>1.4999260000000001</v>
      </c>
      <c r="M18" s="13">
        <v>2.6252999999999999E-2</v>
      </c>
      <c r="N18" s="13">
        <f t="shared" si="5"/>
        <v>3.9377557277999999E-2</v>
      </c>
      <c r="O18" s="13">
        <v>1.8007169999999999</v>
      </c>
      <c r="P18" s="13">
        <v>1.2130000000000001E-3</v>
      </c>
      <c r="Q18" s="13">
        <f t="shared" si="0"/>
        <v>2.1842697210000001E-3</v>
      </c>
      <c r="R18" s="13">
        <v>0.99804300000000001</v>
      </c>
      <c r="S18" s="13">
        <v>2.8180000000000002E-3</v>
      </c>
      <c r="T18" s="13">
        <f t="shared" si="6"/>
        <v>2.8124851740000002E-3</v>
      </c>
      <c r="U18" s="13">
        <v>1.8000130000000001</v>
      </c>
      <c r="V18" s="13">
        <v>5.7340000000000004E-3</v>
      </c>
      <c r="W18" s="13">
        <f t="shared" si="1"/>
        <v>1.0321274542000001E-2</v>
      </c>
      <c r="X18" s="13">
        <v>0.99888600000000005</v>
      </c>
      <c r="Y18" s="13">
        <v>3.4696999999999999E-2</v>
      </c>
      <c r="Z18" s="13">
        <f t="shared" si="2"/>
        <v>3.4658347542E-2</v>
      </c>
      <c r="AA18" s="15">
        <f t="shared" si="3"/>
        <v>8.9353934257000001E-2</v>
      </c>
      <c r="AB18" s="46">
        <f t="shared" si="7"/>
        <v>8.9353934257000001E-2</v>
      </c>
    </row>
    <row r="19" spans="1:28" x14ac:dyDescent="0.7">
      <c r="A19" s="8">
        <v>16</v>
      </c>
      <c r="B19" s="9">
        <v>19000</v>
      </c>
      <c r="C19" s="10">
        <v>-44.020450186761437</v>
      </c>
      <c r="D19" s="10">
        <f t="shared" si="4"/>
        <v>-6.8801824433946734</v>
      </c>
      <c r="E19" s="10">
        <v>37.140267743366763</v>
      </c>
      <c r="F19" s="10">
        <f t="shared" si="8"/>
        <v>37.476183243366769</v>
      </c>
      <c r="G19" s="11" t="s">
        <v>13</v>
      </c>
      <c r="H19" s="11" t="s">
        <v>16</v>
      </c>
      <c r="I19" s="11"/>
      <c r="J19" s="10"/>
      <c r="K19" s="12"/>
      <c r="L19" s="13">
        <v>1.4999260000000001</v>
      </c>
      <c r="M19" s="13">
        <v>2.6209E-2</v>
      </c>
      <c r="N19" s="13">
        <f t="shared" si="5"/>
        <v>3.9311560533999999E-2</v>
      </c>
      <c r="O19" s="13">
        <v>1.8007169999999999</v>
      </c>
      <c r="P19" s="13">
        <v>1.212E-3</v>
      </c>
      <c r="Q19" s="13">
        <f t="shared" si="0"/>
        <v>2.1824690039999998E-3</v>
      </c>
      <c r="R19" s="13">
        <v>0.99804300000000001</v>
      </c>
      <c r="S19" s="13">
        <v>2.8149999999999998E-3</v>
      </c>
      <c r="T19" s="13">
        <f t="shared" si="6"/>
        <v>2.8094910449999997E-3</v>
      </c>
      <c r="U19" s="13">
        <v>1.7998130000000001</v>
      </c>
      <c r="V19" s="13">
        <v>5.7340000000000004E-3</v>
      </c>
      <c r="W19" s="13">
        <f t="shared" si="1"/>
        <v>1.0320127742000001E-2</v>
      </c>
      <c r="X19" s="13">
        <v>0.99888600000000005</v>
      </c>
      <c r="Y19" s="13">
        <v>3.4632000000000003E-2</v>
      </c>
      <c r="Z19" s="13">
        <f t="shared" si="2"/>
        <v>3.4593419952000007E-2</v>
      </c>
      <c r="AA19" s="15">
        <f t="shared" si="3"/>
        <v>8.9217068277000017E-2</v>
      </c>
      <c r="AB19" s="46">
        <f t="shared" si="7"/>
        <v>8.9217068277000017E-2</v>
      </c>
    </row>
    <row r="20" spans="1:28" x14ac:dyDescent="0.7">
      <c r="A20" s="8">
        <v>17</v>
      </c>
      <c r="B20" s="9">
        <v>19000</v>
      </c>
      <c r="C20" s="10">
        <v>-44.020450186761437</v>
      </c>
      <c r="D20" s="10">
        <f t="shared" si="4"/>
        <v>-6.9347214433946647</v>
      </c>
      <c r="E20" s="10">
        <v>37.085728743366772</v>
      </c>
      <c r="F20" s="10">
        <f t="shared" si="8"/>
        <v>37.226183243366769</v>
      </c>
      <c r="G20" s="11" t="s">
        <v>13</v>
      </c>
      <c r="H20" s="11" t="s">
        <v>16</v>
      </c>
      <c r="I20" s="11"/>
      <c r="J20" s="10"/>
      <c r="K20" s="12"/>
      <c r="L20" s="13">
        <v>1.4999260000000001</v>
      </c>
      <c r="M20" s="13">
        <v>2.622E-2</v>
      </c>
      <c r="N20" s="13">
        <f t="shared" si="5"/>
        <v>3.9328059720000003E-2</v>
      </c>
      <c r="O20" s="13">
        <v>1.8007169999999999</v>
      </c>
      <c r="P20" s="13">
        <v>1.212E-3</v>
      </c>
      <c r="Q20" s="13">
        <f t="shared" si="0"/>
        <v>2.1824690039999998E-3</v>
      </c>
      <c r="R20" s="13">
        <v>0.99804300000000001</v>
      </c>
      <c r="S20" s="13">
        <v>2.8159999999999999E-3</v>
      </c>
      <c r="T20" s="13">
        <f t="shared" si="6"/>
        <v>2.8104890879999999E-3</v>
      </c>
      <c r="U20" s="13">
        <v>1.7998130000000001</v>
      </c>
      <c r="V20" s="13">
        <v>5.7429999999999998E-3</v>
      </c>
      <c r="W20" s="13">
        <f t="shared" si="1"/>
        <v>1.0336326059000001E-2</v>
      </c>
      <c r="X20" s="13">
        <v>0.99888600000000005</v>
      </c>
      <c r="Y20" s="13">
        <v>3.4632000000000003E-2</v>
      </c>
      <c r="Z20" s="13">
        <f t="shared" si="2"/>
        <v>3.4593419952000007E-2</v>
      </c>
      <c r="AA20" s="15">
        <f t="shared" si="3"/>
        <v>8.9250763823000012E-2</v>
      </c>
      <c r="AB20" s="46">
        <f t="shared" si="7"/>
        <v>8.9250763823000012E-2</v>
      </c>
    </row>
    <row r="21" spans="1:28" x14ac:dyDescent="0.7">
      <c r="A21" s="8">
        <v>18</v>
      </c>
      <c r="B21" s="9">
        <v>19000</v>
      </c>
      <c r="C21" s="10">
        <v>-44.020450186761437</v>
      </c>
      <c r="D21" s="10">
        <f t="shared" si="4"/>
        <v>-6.9866176433946663</v>
      </c>
      <c r="E21" s="10">
        <v>37.033832543366771</v>
      </c>
      <c r="F21" s="10">
        <f t="shared" si="8"/>
        <v>36.976183243366769</v>
      </c>
      <c r="G21" s="11" t="s">
        <v>13</v>
      </c>
      <c r="H21" s="11" t="s">
        <v>16</v>
      </c>
      <c r="I21" s="11"/>
      <c r="J21" s="10"/>
      <c r="K21" s="12"/>
      <c r="L21" s="13">
        <v>1.4999260000000001</v>
      </c>
      <c r="M21" s="13">
        <v>2.6204000000000002E-2</v>
      </c>
      <c r="N21" s="13">
        <f t="shared" si="5"/>
        <v>3.9304060904000002E-2</v>
      </c>
      <c r="O21" s="13">
        <v>1.8007169999999999</v>
      </c>
      <c r="P21" s="13">
        <v>1.212E-3</v>
      </c>
      <c r="Q21" s="13">
        <f t="shared" si="0"/>
        <v>2.1824690039999998E-3</v>
      </c>
      <c r="R21" s="13">
        <v>0.99804300000000001</v>
      </c>
      <c r="S21" s="13">
        <v>2.8170000000000001E-3</v>
      </c>
      <c r="T21" s="13">
        <f t="shared" si="6"/>
        <v>2.811487131E-3</v>
      </c>
      <c r="U21" s="13">
        <v>1.8000130000000001</v>
      </c>
      <c r="V21" s="13">
        <v>5.7359999999999998E-3</v>
      </c>
      <c r="W21" s="13">
        <f t="shared" si="1"/>
        <v>1.0324874568000001E-2</v>
      </c>
      <c r="X21" s="13">
        <v>0.99888600000000005</v>
      </c>
      <c r="Y21" s="13">
        <v>3.4566E-2</v>
      </c>
      <c r="Z21" s="13">
        <f t="shared" si="2"/>
        <v>3.4527493476000003E-2</v>
      </c>
      <c r="AA21" s="15">
        <f t="shared" si="3"/>
        <v>8.9150385082999994E-2</v>
      </c>
      <c r="AB21" s="46">
        <f t="shared" si="7"/>
        <v>8.9150385082999994E-2</v>
      </c>
    </row>
    <row r="22" spans="1:28" x14ac:dyDescent="0.7">
      <c r="A22" s="8">
        <v>19</v>
      </c>
      <c r="B22" s="9">
        <v>19000</v>
      </c>
      <c r="C22" s="10">
        <v>-44.020450186761437</v>
      </c>
      <c r="D22" s="10">
        <f t="shared" si="4"/>
        <v>-7.0482017433946638</v>
      </c>
      <c r="E22" s="10">
        <v>36.972248443366773</v>
      </c>
      <c r="F22" s="10">
        <f t="shared" si="8"/>
        <v>36.726183243366769</v>
      </c>
      <c r="G22" s="11" t="s">
        <v>13</v>
      </c>
      <c r="H22" s="11" t="s">
        <v>16</v>
      </c>
      <c r="I22" s="11"/>
      <c r="J22" s="10"/>
      <c r="K22" s="12"/>
      <c r="L22" s="13">
        <v>1.4999260000000001</v>
      </c>
      <c r="M22" s="13">
        <v>2.6216E-2</v>
      </c>
      <c r="N22" s="13">
        <f t="shared" si="5"/>
        <v>3.9322060015999999E-2</v>
      </c>
      <c r="O22" s="13">
        <v>1.8007169999999999</v>
      </c>
      <c r="P22" s="13">
        <v>1.2130000000000001E-3</v>
      </c>
      <c r="Q22" s="13">
        <f t="shared" si="0"/>
        <v>2.1842697210000001E-3</v>
      </c>
      <c r="R22" s="13">
        <v>0.99804300000000001</v>
      </c>
      <c r="S22" s="13">
        <v>2.8189999999999999E-3</v>
      </c>
      <c r="T22" s="13">
        <f t="shared" si="6"/>
        <v>2.8134832169999999E-3</v>
      </c>
      <c r="U22" s="13">
        <v>1.7998130000000001</v>
      </c>
      <c r="V22" s="13">
        <v>5.7390000000000002E-3</v>
      </c>
      <c r="W22" s="13">
        <f t="shared" si="1"/>
        <v>1.0329126807000001E-2</v>
      </c>
      <c r="X22" s="13">
        <v>0.99888600000000005</v>
      </c>
      <c r="Y22" s="13">
        <v>3.4632000000000003E-2</v>
      </c>
      <c r="Z22" s="13">
        <f t="shared" si="2"/>
        <v>3.4593419952000007E-2</v>
      </c>
      <c r="AA22" s="15">
        <f t="shared" si="3"/>
        <v>8.9242359713000013E-2</v>
      </c>
      <c r="AB22" s="46">
        <f t="shared" si="7"/>
        <v>8.9242359713000013E-2</v>
      </c>
    </row>
    <row r="23" spans="1:28" x14ac:dyDescent="0.7">
      <c r="A23" s="8">
        <v>20</v>
      </c>
      <c r="B23" s="9">
        <v>19000</v>
      </c>
      <c r="C23" s="10">
        <v>-44.020450186761437</v>
      </c>
      <c r="D23" s="10">
        <f t="shared" si="4"/>
        <v>-7.8189950433946649</v>
      </c>
      <c r="E23" s="10">
        <v>36.201455143366772</v>
      </c>
      <c r="F23" s="10">
        <f t="shared" si="8"/>
        <v>36.476183243366769</v>
      </c>
      <c r="G23" s="11" t="s">
        <v>13</v>
      </c>
      <c r="H23" s="11" t="s">
        <v>16</v>
      </c>
      <c r="I23" s="11"/>
      <c r="J23" s="10"/>
      <c r="K23" s="12"/>
      <c r="L23" s="13">
        <v>1.4999260000000001</v>
      </c>
      <c r="M23" s="13">
        <v>2.6186000000000001E-2</v>
      </c>
      <c r="N23" s="13">
        <f t="shared" si="5"/>
        <v>3.9277062236000006E-2</v>
      </c>
      <c r="O23" s="13">
        <v>1.8007169999999999</v>
      </c>
      <c r="P23" s="13">
        <v>1.2130000000000001E-3</v>
      </c>
      <c r="Q23" s="13">
        <f t="shared" si="0"/>
        <v>2.1842697210000001E-3</v>
      </c>
      <c r="R23" s="13">
        <v>0.99804300000000001</v>
      </c>
      <c r="S23" s="13">
        <v>2.8170000000000001E-3</v>
      </c>
      <c r="T23" s="13">
        <f t="shared" si="6"/>
        <v>2.811487131E-3</v>
      </c>
      <c r="U23" s="13">
        <v>1.8000130000000001</v>
      </c>
      <c r="V23" s="13">
        <v>5.7390000000000002E-3</v>
      </c>
      <c r="W23" s="13">
        <f t="shared" si="1"/>
        <v>1.0330274607000001E-2</v>
      </c>
      <c r="X23" s="13">
        <v>0.99888600000000005</v>
      </c>
      <c r="Y23" s="13">
        <v>3.4632000000000003E-2</v>
      </c>
      <c r="Z23" s="13">
        <f t="shared" si="2"/>
        <v>3.4593419952000007E-2</v>
      </c>
      <c r="AA23" s="15">
        <f t="shared" si="3"/>
        <v>8.9196513647000014E-2</v>
      </c>
      <c r="AB23" s="46">
        <f t="shared" si="7"/>
        <v>8.9196513647000014E-2</v>
      </c>
    </row>
    <row r="24" spans="1:28" x14ac:dyDescent="0.7">
      <c r="A24" s="8">
        <v>21</v>
      </c>
      <c r="B24" s="9">
        <v>19000</v>
      </c>
      <c r="C24" s="10">
        <v>-44.020450186761437</v>
      </c>
      <c r="D24" s="10">
        <f t="shared" si="4"/>
        <v>-7.8836635433946753</v>
      </c>
      <c r="E24" s="10">
        <v>36.136786643366761</v>
      </c>
      <c r="F24" s="10">
        <f t="shared" si="8"/>
        <v>36.226183243366769</v>
      </c>
      <c r="G24" s="11" t="s">
        <v>13</v>
      </c>
      <c r="H24" s="11" t="s">
        <v>16</v>
      </c>
      <c r="I24" s="29"/>
      <c r="J24" s="10"/>
      <c r="K24" s="12"/>
      <c r="L24" s="13">
        <v>1.5001260000000001</v>
      </c>
      <c r="M24" s="13">
        <v>2.6176000000000001E-2</v>
      </c>
      <c r="N24" s="13">
        <f t="shared" si="5"/>
        <v>3.9267298176000005E-2</v>
      </c>
      <c r="O24" s="13">
        <v>1.8007169999999999</v>
      </c>
      <c r="P24" s="13">
        <v>1.2130000000000001E-3</v>
      </c>
      <c r="Q24" s="13">
        <f t="shared" si="0"/>
        <v>2.1842697210000001E-3</v>
      </c>
      <c r="R24" s="13">
        <v>0.99804300000000001</v>
      </c>
      <c r="S24" s="13">
        <v>2.8180000000000002E-3</v>
      </c>
      <c r="T24" s="13">
        <f t="shared" si="6"/>
        <v>2.8124851740000002E-3</v>
      </c>
      <c r="U24" s="13">
        <v>1.7998130000000001</v>
      </c>
      <c r="V24" s="13">
        <v>5.7429999999999998E-3</v>
      </c>
      <c r="W24" s="13">
        <f t="shared" si="1"/>
        <v>1.0336326059000001E-2</v>
      </c>
      <c r="X24" s="13">
        <v>0.99888600000000005</v>
      </c>
      <c r="Y24" s="13">
        <v>3.4632000000000003E-2</v>
      </c>
      <c r="Z24" s="13">
        <f t="shared" si="2"/>
        <v>3.4593419952000007E-2</v>
      </c>
      <c r="AA24" s="15">
        <f t="shared" si="3"/>
        <v>8.9193799082000008E-2</v>
      </c>
      <c r="AB24" s="46">
        <f t="shared" si="7"/>
        <v>8.9193799082000008E-2</v>
      </c>
    </row>
    <row r="25" spans="1:28" x14ac:dyDescent="0.7">
      <c r="A25" s="8">
        <v>22</v>
      </c>
      <c r="B25" s="9">
        <v>19000</v>
      </c>
      <c r="C25" s="10">
        <v>-44.020450186761437</v>
      </c>
      <c r="D25" s="10">
        <f t="shared" si="4"/>
        <v>-7.9332174433946676</v>
      </c>
      <c r="E25" s="10">
        <v>36.087232743366769</v>
      </c>
      <c r="F25" s="10">
        <f t="shared" si="8"/>
        <v>35.976183243366769</v>
      </c>
      <c r="G25" s="11" t="s">
        <v>13</v>
      </c>
      <c r="H25" s="11" t="s">
        <v>16</v>
      </c>
      <c r="I25" s="11"/>
      <c r="J25" s="10"/>
      <c r="K25" s="12"/>
      <c r="L25" s="13">
        <v>1.4999260000000001</v>
      </c>
      <c r="M25" s="13">
        <v>2.6183000000000001E-2</v>
      </c>
      <c r="N25" s="13">
        <f t="shared" si="5"/>
        <v>3.9272562458000003E-2</v>
      </c>
      <c r="O25" s="13">
        <v>1.8007169999999999</v>
      </c>
      <c r="P25" s="13">
        <v>1.2130000000000001E-3</v>
      </c>
      <c r="Q25" s="13">
        <f t="shared" si="0"/>
        <v>2.1842697210000001E-3</v>
      </c>
      <c r="R25" s="13">
        <v>0.99804300000000001</v>
      </c>
      <c r="S25" s="13">
        <v>2.8189999999999999E-3</v>
      </c>
      <c r="T25" s="13">
        <f t="shared" si="6"/>
        <v>2.8134832169999999E-3</v>
      </c>
      <c r="U25" s="13">
        <v>1.7998130000000001</v>
      </c>
      <c r="V25" s="13">
        <v>5.7409999999999996E-3</v>
      </c>
      <c r="W25" s="13">
        <f t="shared" si="1"/>
        <v>1.0332726432999999E-2</v>
      </c>
      <c r="X25" s="13">
        <v>0.99888600000000005</v>
      </c>
      <c r="Y25" s="13">
        <v>3.4566E-2</v>
      </c>
      <c r="Z25" s="13">
        <f t="shared" si="2"/>
        <v>3.4527493476000003E-2</v>
      </c>
      <c r="AA25" s="15">
        <f t="shared" si="3"/>
        <v>8.9130535305000008E-2</v>
      </c>
      <c r="AB25" s="46">
        <f t="shared" si="7"/>
        <v>8.9130535305000008E-2</v>
      </c>
    </row>
    <row r="26" spans="1:28" x14ac:dyDescent="0.7">
      <c r="A26" s="8">
        <v>23</v>
      </c>
      <c r="B26" s="9">
        <v>19000</v>
      </c>
      <c r="C26" s="10">
        <v>-44.020450186761437</v>
      </c>
      <c r="D26" s="10">
        <f t="shared" si="4"/>
        <v>-7.9918854433946649</v>
      </c>
      <c r="E26" s="10">
        <v>36.028564743366772</v>
      </c>
      <c r="F26" s="10">
        <f t="shared" si="8"/>
        <v>35.726183243366769</v>
      </c>
      <c r="G26" s="11" t="s">
        <v>13</v>
      </c>
      <c r="H26" s="11" t="s">
        <v>16</v>
      </c>
      <c r="I26" s="11"/>
      <c r="J26" s="10"/>
      <c r="K26" s="12"/>
      <c r="L26" s="13">
        <v>1.4999260000000001</v>
      </c>
      <c r="M26" s="13">
        <v>2.6165000000000001E-2</v>
      </c>
      <c r="N26" s="13">
        <f t="shared" si="5"/>
        <v>3.924556379E-2</v>
      </c>
      <c r="O26" s="13">
        <v>1.8007169999999999</v>
      </c>
      <c r="P26" s="13">
        <v>1.2130000000000001E-3</v>
      </c>
      <c r="Q26" s="13">
        <f t="shared" si="0"/>
        <v>2.1842697210000001E-3</v>
      </c>
      <c r="R26" s="13">
        <v>0.99804300000000001</v>
      </c>
      <c r="S26" s="13">
        <v>2.8210000000000002E-3</v>
      </c>
      <c r="T26" s="13">
        <f t="shared" si="6"/>
        <v>2.8154793030000002E-3</v>
      </c>
      <c r="U26" s="13">
        <v>1.7998130000000001</v>
      </c>
      <c r="V26" s="13">
        <v>5.7340000000000004E-3</v>
      </c>
      <c r="W26" s="13">
        <f t="shared" si="1"/>
        <v>1.0320127742000001E-2</v>
      </c>
      <c r="X26" s="13">
        <v>0.99888600000000005</v>
      </c>
      <c r="Y26" s="13">
        <v>3.4566E-2</v>
      </c>
      <c r="Z26" s="13">
        <f t="shared" si="2"/>
        <v>3.4527493476000003E-2</v>
      </c>
      <c r="AA26" s="15">
        <f t="shared" si="3"/>
        <v>8.9092934031999999E-2</v>
      </c>
      <c r="AB26" s="46">
        <f t="shared" si="7"/>
        <v>8.9092934031999999E-2</v>
      </c>
    </row>
    <row r="27" spans="1:28" x14ac:dyDescent="0.7">
      <c r="A27" s="8">
        <v>24</v>
      </c>
      <c r="B27" s="9">
        <v>19000</v>
      </c>
      <c r="C27" s="10">
        <v>-44.020450186761437</v>
      </c>
      <c r="D27" s="10">
        <f t="shared" si="4"/>
        <v>-8.9812891433946689</v>
      </c>
      <c r="E27" s="10">
        <v>35.039161043366768</v>
      </c>
      <c r="F27" s="10">
        <f t="shared" si="8"/>
        <v>35.476183243366769</v>
      </c>
      <c r="G27" s="11" t="s">
        <v>13</v>
      </c>
      <c r="H27" s="11" t="s">
        <v>16</v>
      </c>
      <c r="I27" s="11"/>
      <c r="J27" s="10"/>
      <c r="K27" s="12"/>
      <c r="L27" s="13">
        <v>1.4999260000000001</v>
      </c>
      <c r="M27" s="13">
        <v>2.6145999999999999E-2</v>
      </c>
      <c r="N27" s="13">
        <f t="shared" si="5"/>
        <v>3.9217065196000003E-2</v>
      </c>
      <c r="O27" s="13">
        <v>1.8007169999999999</v>
      </c>
      <c r="P27" s="13">
        <v>1.2130000000000001E-3</v>
      </c>
      <c r="Q27" s="13">
        <f t="shared" si="0"/>
        <v>2.1842697210000001E-3</v>
      </c>
      <c r="R27" s="13">
        <v>0.99804300000000001</v>
      </c>
      <c r="S27" s="13">
        <v>2.81E-3</v>
      </c>
      <c r="T27" s="13">
        <f t="shared" si="6"/>
        <v>2.8045008299999999E-3</v>
      </c>
      <c r="U27" s="13">
        <v>1.7998130000000001</v>
      </c>
      <c r="V27" s="13">
        <v>5.7429999999999998E-3</v>
      </c>
      <c r="W27" s="13">
        <f t="shared" si="1"/>
        <v>1.0336326059000001E-2</v>
      </c>
      <c r="X27" s="13">
        <v>0.99888600000000005</v>
      </c>
      <c r="Y27" s="13">
        <v>3.4632000000000003E-2</v>
      </c>
      <c r="Z27" s="13">
        <f t="shared" si="2"/>
        <v>3.4593419952000007E-2</v>
      </c>
      <c r="AA27" s="15">
        <f t="shared" si="3"/>
        <v>8.9135581758000015E-2</v>
      </c>
      <c r="AB27" s="46">
        <f t="shared" si="7"/>
        <v>8.9135581758000015E-2</v>
      </c>
    </row>
    <row r="28" spans="1:28" x14ac:dyDescent="0.7">
      <c r="A28" s="8">
        <v>25</v>
      </c>
      <c r="B28" s="9">
        <v>19000</v>
      </c>
      <c r="C28" s="10">
        <v>-44.020450186761437</v>
      </c>
      <c r="D28" s="10">
        <f t="shared" si="4"/>
        <v>-9.0394852433946653</v>
      </c>
      <c r="E28" s="10">
        <v>34.980964943366772</v>
      </c>
      <c r="F28" s="10">
        <f t="shared" si="8"/>
        <v>35.226183243366769</v>
      </c>
      <c r="G28" s="11" t="s">
        <v>13</v>
      </c>
      <c r="H28" s="11" t="s">
        <v>16</v>
      </c>
      <c r="I28" s="11"/>
      <c r="J28" s="10"/>
      <c r="K28" s="12"/>
      <c r="L28" s="13">
        <v>1.4999260000000001</v>
      </c>
      <c r="M28" s="13">
        <v>2.6158000000000001E-2</v>
      </c>
      <c r="N28" s="13">
        <f t="shared" si="5"/>
        <v>3.9235064308000001E-2</v>
      </c>
      <c r="O28" s="13">
        <v>1.8007169999999999</v>
      </c>
      <c r="P28" s="13">
        <v>1.2130000000000001E-3</v>
      </c>
      <c r="Q28" s="13">
        <f t="shared" si="0"/>
        <v>2.1842697210000001E-3</v>
      </c>
      <c r="R28" s="13">
        <v>0.99804300000000001</v>
      </c>
      <c r="S28" s="13">
        <v>2.8119999999999998E-3</v>
      </c>
      <c r="T28" s="13">
        <f t="shared" si="6"/>
        <v>2.8064969159999997E-3</v>
      </c>
      <c r="U28" s="13">
        <v>1.8000130000000001</v>
      </c>
      <c r="V28" s="13">
        <v>5.7409999999999996E-3</v>
      </c>
      <c r="W28" s="13">
        <f t="shared" si="1"/>
        <v>1.0333874632999999E-2</v>
      </c>
      <c r="X28" s="13">
        <v>0.99888600000000005</v>
      </c>
      <c r="Y28" s="13">
        <v>3.4696999999999999E-2</v>
      </c>
      <c r="Z28" s="13">
        <f t="shared" si="2"/>
        <v>3.4658347542E-2</v>
      </c>
      <c r="AA28" s="15">
        <f t="shared" si="3"/>
        <v>8.9218053120000002E-2</v>
      </c>
      <c r="AB28" s="46">
        <f t="shared" si="7"/>
        <v>8.9218053120000002E-2</v>
      </c>
    </row>
    <row r="29" spans="1:28" x14ac:dyDescent="0.7">
      <c r="A29" s="8">
        <v>26</v>
      </c>
      <c r="B29" s="9">
        <v>19000</v>
      </c>
      <c r="C29" s="10">
        <v>-44.020450186761437</v>
      </c>
      <c r="D29" s="10">
        <f t="shared" si="4"/>
        <v>-9.0954603433946701</v>
      </c>
      <c r="E29" s="10">
        <v>34.924989843366767</v>
      </c>
      <c r="F29" s="10">
        <f t="shared" si="8"/>
        <v>34.976183243366769</v>
      </c>
      <c r="G29" s="11" t="s">
        <v>13</v>
      </c>
      <c r="H29" s="11" t="s">
        <v>16</v>
      </c>
      <c r="I29" s="11"/>
      <c r="J29" s="10"/>
      <c r="K29" s="12"/>
      <c r="L29" s="13">
        <v>1.4999260000000001</v>
      </c>
      <c r="M29" s="13">
        <v>2.6155999999999999E-2</v>
      </c>
      <c r="N29" s="13">
        <f t="shared" si="5"/>
        <v>3.9232064455999999E-2</v>
      </c>
      <c r="O29" s="13">
        <v>1.8007169999999999</v>
      </c>
      <c r="P29" s="13">
        <v>1.2130000000000001E-3</v>
      </c>
      <c r="Q29" s="13">
        <f t="shared" si="0"/>
        <v>2.1842697210000001E-3</v>
      </c>
      <c r="R29" s="13">
        <v>0.99804300000000001</v>
      </c>
      <c r="S29" s="13">
        <v>2.8119999999999998E-3</v>
      </c>
      <c r="T29" s="13">
        <f t="shared" si="6"/>
        <v>2.8064969159999997E-3</v>
      </c>
      <c r="U29" s="13">
        <v>1.7998130000000001</v>
      </c>
      <c r="V29" s="13">
        <v>5.7429999999999998E-3</v>
      </c>
      <c r="W29" s="13">
        <f t="shared" si="1"/>
        <v>1.0336326059000001E-2</v>
      </c>
      <c r="X29" s="13">
        <v>0.99888600000000005</v>
      </c>
      <c r="Y29" s="13">
        <v>3.4566E-2</v>
      </c>
      <c r="Z29" s="13">
        <f t="shared" si="2"/>
        <v>3.4527493476000003E-2</v>
      </c>
      <c r="AA29" s="15">
        <f t="shared" si="3"/>
        <v>8.9086650628000003E-2</v>
      </c>
      <c r="AB29" s="46">
        <f t="shared" si="7"/>
        <v>8.9086650628000003E-2</v>
      </c>
    </row>
    <row r="30" spans="1:28" x14ac:dyDescent="0.7">
      <c r="A30" s="8">
        <v>27</v>
      </c>
      <c r="B30" s="9">
        <v>19000</v>
      </c>
      <c r="C30" s="10">
        <v>-44.020450186761437</v>
      </c>
      <c r="D30" s="10">
        <f t="shared" si="4"/>
        <v>-9.1542797433946674</v>
      </c>
      <c r="E30" s="10">
        <v>34.866170443366769</v>
      </c>
      <c r="F30" s="10">
        <f t="shared" si="8"/>
        <v>34.726183243366769</v>
      </c>
      <c r="G30" s="11" t="s">
        <v>13</v>
      </c>
      <c r="H30" s="11" t="s">
        <v>16</v>
      </c>
      <c r="I30" s="11"/>
      <c r="J30" s="10"/>
      <c r="K30" s="12"/>
      <c r="L30" s="13">
        <v>1.5001260000000001</v>
      </c>
      <c r="M30" s="13">
        <v>2.6162999999999999E-2</v>
      </c>
      <c r="N30" s="13">
        <f t="shared" si="5"/>
        <v>3.9247796538E-2</v>
      </c>
      <c r="O30" s="13">
        <v>1.8007169999999999</v>
      </c>
      <c r="P30" s="13">
        <v>1.2130000000000001E-3</v>
      </c>
      <c r="Q30" s="13">
        <f t="shared" si="0"/>
        <v>2.1842697210000001E-3</v>
      </c>
      <c r="R30" s="13">
        <v>0.99804300000000001</v>
      </c>
      <c r="S30" s="13">
        <v>2.8140000000000001E-3</v>
      </c>
      <c r="T30" s="13">
        <f t="shared" si="6"/>
        <v>2.808493002E-3</v>
      </c>
      <c r="U30" s="13">
        <v>1.7998130000000001</v>
      </c>
      <c r="V30" s="13">
        <v>5.7409999999999996E-3</v>
      </c>
      <c r="W30" s="13">
        <f t="shared" si="1"/>
        <v>1.0332726432999999E-2</v>
      </c>
      <c r="X30" s="13">
        <v>0.99888600000000005</v>
      </c>
      <c r="Y30" s="13">
        <v>3.4632000000000003E-2</v>
      </c>
      <c r="Z30" s="13">
        <f t="shared" si="2"/>
        <v>3.4593419952000007E-2</v>
      </c>
      <c r="AA30" s="15">
        <f t="shared" si="3"/>
        <v>8.9166705646000002E-2</v>
      </c>
      <c r="AB30" s="46">
        <f t="shared" si="7"/>
        <v>8.9166705646000002E-2</v>
      </c>
    </row>
    <row r="31" spans="1:28" x14ac:dyDescent="0.7">
      <c r="A31" s="8">
        <v>28</v>
      </c>
      <c r="B31" s="9">
        <v>19000</v>
      </c>
      <c r="C31" s="10">
        <v>-44.020450186761437</v>
      </c>
      <c r="D31" s="10">
        <f t="shared" si="4"/>
        <v>-9.9730220433946641</v>
      </c>
      <c r="E31" s="10">
        <v>34.047428143366773</v>
      </c>
      <c r="F31" s="10">
        <f t="shared" si="8"/>
        <v>34.476183243366769</v>
      </c>
      <c r="G31" s="11" t="s">
        <v>13</v>
      </c>
      <c r="H31" s="11" t="s">
        <v>16</v>
      </c>
      <c r="I31" s="11"/>
      <c r="J31" s="10"/>
      <c r="K31" s="12"/>
      <c r="L31" s="13">
        <v>1.4999260000000001</v>
      </c>
      <c r="M31" s="13">
        <v>2.6152999999999999E-2</v>
      </c>
      <c r="N31" s="13">
        <f t="shared" si="5"/>
        <v>3.9227564678000003E-2</v>
      </c>
      <c r="O31" s="13">
        <v>1.8007169999999999</v>
      </c>
      <c r="P31" s="13">
        <v>1.2130000000000001E-3</v>
      </c>
      <c r="Q31" s="13">
        <f t="shared" si="0"/>
        <v>2.1842697210000001E-3</v>
      </c>
      <c r="R31" s="13">
        <v>0.99804300000000001</v>
      </c>
      <c r="S31" s="13">
        <v>2.813E-3</v>
      </c>
      <c r="T31" s="13">
        <f t="shared" si="6"/>
        <v>2.8074949589999999E-3</v>
      </c>
      <c r="U31" s="13">
        <v>1.8000130000000001</v>
      </c>
      <c r="V31" s="13">
        <v>5.7429999999999998E-3</v>
      </c>
      <c r="W31" s="13">
        <f t="shared" si="1"/>
        <v>1.0337474659E-2</v>
      </c>
      <c r="X31" s="13">
        <v>0.99888600000000005</v>
      </c>
      <c r="Y31" s="13">
        <v>3.4696999999999999E-2</v>
      </c>
      <c r="Z31" s="13">
        <f t="shared" si="2"/>
        <v>3.4658347542E-2</v>
      </c>
      <c r="AA31" s="15">
        <f t="shared" si="3"/>
        <v>8.9215151559000005E-2</v>
      </c>
      <c r="AB31" s="46">
        <f t="shared" si="7"/>
        <v>8.9215151559000005E-2</v>
      </c>
    </row>
    <row r="32" spans="1:28" x14ac:dyDescent="0.7">
      <c r="A32" s="8">
        <v>29</v>
      </c>
      <c r="B32" s="9">
        <v>19000</v>
      </c>
      <c r="C32" s="10">
        <v>-44.020450186761437</v>
      </c>
      <c r="D32" s="10">
        <f t="shared" si="4"/>
        <v>-10.051432043394669</v>
      </c>
      <c r="E32" s="10">
        <v>33.969018143366768</v>
      </c>
      <c r="F32" s="10">
        <f t="shared" si="8"/>
        <v>34.226183243366769</v>
      </c>
      <c r="G32" s="11" t="s">
        <v>13</v>
      </c>
      <c r="H32" s="11" t="s">
        <v>16</v>
      </c>
      <c r="I32" s="11"/>
      <c r="J32" s="10"/>
      <c r="K32" s="12"/>
      <c r="L32" s="13">
        <v>1.5001260000000001</v>
      </c>
      <c r="M32" s="13">
        <v>2.6144000000000001E-2</v>
      </c>
      <c r="N32" s="13">
        <f t="shared" si="5"/>
        <v>3.9219294144000001E-2</v>
      </c>
      <c r="O32" s="13">
        <v>1.8007169999999999</v>
      </c>
      <c r="P32" s="13">
        <v>1.2130000000000001E-3</v>
      </c>
      <c r="Q32" s="13">
        <f t="shared" si="0"/>
        <v>2.1842697210000001E-3</v>
      </c>
      <c r="R32" s="13">
        <v>0.99804300000000001</v>
      </c>
      <c r="S32" s="13">
        <v>2.8149999999999998E-3</v>
      </c>
      <c r="T32" s="13">
        <f t="shared" si="6"/>
        <v>2.8094910449999997E-3</v>
      </c>
      <c r="U32" s="13">
        <v>1.8000130000000001</v>
      </c>
      <c r="V32" s="13">
        <v>5.7450000000000001E-3</v>
      </c>
      <c r="W32" s="13">
        <f t="shared" si="1"/>
        <v>1.0341074685E-2</v>
      </c>
      <c r="X32" s="13">
        <v>0.99888600000000005</v>
      </c>
      <c r="Y32" s="13">
        <v>3.4696999999999999E-2</v>
      </c>
      <c r="Z32" s="13">
        <f t="shared" si="2"/>
        <v>3.4658347542E-2</v>
      </c>
      <c r="AA32" s="15">
        <f t="shared" si="3"/>
        <v>8.9212477137000007E-2</v>
      </c>
      <c r="AB32" s="46">
        <f t="shared" si="7"/>
        <v>8.9212477137000007E-2</v>
      </c>
    </row>
    <row r="33" spans="1:28" x14ac:dyDescent="0.7">
      <c r="A33" s="8">
        <v>30</v>
      </c>
      <c r="B33" s="9">
        <v>19000</v>
      </c>
      <c r="C33" s="10">
        <v>-44.020450186761437</v>
      </c>
      <c r="D33" s="10">
        <f t="shared" si="4"/>
        <v>-10.10543614339467</v>
      </c>
      <c r="E33" s="10">
        <v>33.915014043366767</v>
      </c>
      <c r="F33" s="10">
        <f t="shared" si="8"/>
        <v>33.976183243366769</v>
      </c>
      <c r="G33" s="11" t="s">
        <v>13</v>
      </c>
      <c r="H33" s="11" t="s">
        <v>16</v>
      </c>
      <c r="I33" s="11"/>
      <c r="J33" s="10"/>
      <c r="K33" s="12"/>
      <c r="L33" s="13">
        <v>1.5001260000000001</v>
      </c>
      <c r="M33" s="13">
        <v>2.6144000000000001E-2</v>
      </c>
      <c r="N33" s="13">
        <f t="shared" si="5"/>
        <v>3.9219294144000001E-2</v>
      </c>
      <c r="O33" s="13">
        <v>1.8007169999999999</v>
      </c>
      <c r="P33" s="13">
        <v>1.2130000000000001E-3</v>
      </c>
      <c r="Q33" s="13">
        <f t="shared" si="0"/>
        <v>2.1842697210000001E-3</v>
      </c>
      <c r="R33" s="13">
        <v>0.99804300000000001</v>
      </c>
      <c r="S33" s="13">
        <v>2.8149999999999998E-3</v>
      </c>
      <c r="T33" s="13">
        <f t="shared" si="6"/>
        <v>2.8094910449999997E-3</v>
      </c>
      <c r="U33" s="13">
        <v>1.7998130000000001</v>
      </c>
      <c r="V33" s="13">
        <v>5.7320000000000001E-3</v>
      </c>
      <c r="W33" s="13">
        <f t="shared" si="1"/>
        <v>1.0316528116000001E-2</v>
      </c>
      <c r="X33" s="13">
        <v>0.99888600000000005</v>
      </c>
      <c r="Y33" s="13">
        <v>3.4632000000000003E-2</v>
      </c>
      <c r="Z33" s="13">
        <f t="shared" si="2"/>
        <v>3.4593419952000007E-2</v>
      </c>
      <c r="AA33" s="15">
        <f t="shared" si="3"/>
        <v>8.9123002978000007E-2</v>
      </c>
      <c r="AB33" s="46">
        <f t="shared" si="7"/>
        <v>8.9123002978000007E-2</v>
      </c>
    </row>
    <row r="34" spans="1:28" x14ac:dyDescent="0.7">
      <c r="A34" s="8">
        <v>31</v>
      </c>
      <c r="B34" s="9">
        <v>19000</v>
      </c>
      <c r="C34" s="10">
        <v>-44.020450186761437</v>
      </c>
      <c r="D34" s="10">
        <f t="shared" si="4"/>
        <v>-10.156581743394668</v>
      </c>
      <c r="E34" s="10">
        <v>33.863868443366769</v>
      </c>
      <c r="F34" s="10">
        <f t="shared" si="8"/>
        <v>33.726183243366769</v>
      </c>
      <c r="G34" s="11" t="s">
        <v>13</v>
      </c>
      <c r="H34" s="11" t="s">
        <v>16</v>
      </c>
      <c r="I34" s="11"/>
      <c r="J34" s="10"/>
      <c r="K34" s="12"/>
      <c r="L34" s="13">
        <v>1.4999260000000001</v>
      </c>
      <c r="M34" s="13">
        <v>2.6162000000000001E-2</v>
      </c>
      <c r="N34" s="13">
        <f t="shared" si="5"/>
        <v>3.9241064012000004E-2</v>
      </c>
      <c r="O34" s="13">
        <v>1.8007169999999999</v>
      </c>
      <c r="P34" s="13">
        <v>1.2130000000000001E-3</v>
      </c>
      <c r="Q34" s="13">
        <f t="shared" si="0"/>
        <v>2.1842697210000001E-3</v>
      </c>
      <c r="R34" s="13">
        <v>0.99804300000000001</v>
      </c>
      <c r="S34" s="13">
        <v>2.8170000000000001E-3</v>
      </c>
      <c r="T34" s="13">
        <f t="shared" si="6"/>
        <v>2.811487131E-3</v>
      </c>
      <c r="U34" s="13">
        <v>1.8000130000000001</v>
      </c>
      <c r="V34" s="13">
        <v>5.7340000000000004E-3</v>
      </c>
      <c r="W34" s="13">
        <f t="shared" si="1"/>
        <v>1.0321274542000001E-2</v>
      </c>
      <c r="X34" s="13">
        <v>0.99888600000000005</v>
      </c>
      <c r="Y34" s="13">
        <v>3.4632000000000003E-2</v>
      </c>
      <c r="Z34" s="13">
        <f t="shared" si="2"/>
        <v>3.4593419952000007E-2</v>
      </c>
      <c r="AA34" s="15">
        <f t="shared" si="3"/>
        <v>8.9151515358000005E-2</v>
      </c>
      <c r="AB34" s="46">
        <f t="shared" si="7"/>
        <v>8.9151515358000005E-2</v>
      </c>
    </row>
    <row r="35" spans="1:28" x14ac:dyDescent="0.7">
      <c r="A35" s="8">
        <v>32</v>
      </c>
      <c r="B35" s="9">
        <v>19000</v>
      </c>
      <c r="C35" s="10">
        <v>-44.020450186761437</v>
      </c>
      <c r="D35" s="10">
        <f t="shared" si="4"/>
        <v>-11.162735943394665</v>
      </c>
      <c r="E35" s="10">
        <v>32.857714243366772</v>
      </c>
      <c r="F35" s="10">
        <f t="shared" si="8"/>
        <v>33.476183243366769</v>
      </c>
      <c r="G35" s="11" t="s">
        <v>13</v>
      </c>
      <c r="H35" s="11" t="s">
        <v>16</v>
      </c>
      <c r="I35" s="11"/>
      <c r="J35" s="10"/>
      <c r="K35" s="12"/>
      <c r="L35" s="13">
        <v>1.5001260000000001</v>
      </c>
      <c r="M35" s="13">
        <v>2.6151000000000001E-2</v>
      </c>
      <c r="N35" s="13">
        <f t="shared" si="5"/>
        <v>3.9229795026000006E-2</v>
      </c>
      <c r="O35" s="13">
        <v>1.8007169999999999</v>
      </c>
      <c r="P35" s="13">
        <v>1.2130000000000001E-3</v>
      </c>
      <c r="Q35" s="13">
        <f t="shared" si="0"/>
        <v>2.1842697210000001E-3</v>
      </c>
      <c r="R35" s="13">
        <v>0.99804300000000001</v>
      </c>
      <c r="S35" s="13">
        <v>2.8159999999999999E-3</v>
      </c>
      <c r="T35" s="13">
        <f t="shared" si="6"/>
        <v>2.8104890879999999E-3</v>
      </c>
      <c r="U35" s="13">
        <v>1.7998130000000001</v>
      </c>
      <c r="V35" s="13">
        <v>5.7429999999999998E-3</v>
      </c>
      <c r="W35" s="13">
        <f t="shared" si="1"/>
        <v>1.0336326059000001E-2</v>
      </c>
      <c r="X35" s="13">
        <v>0.99888600000000005</v>
      </c>
      <c r="Y35" s="13">
        <v>3.4566E-2</v>
      </c>
      <c r="Z35" s="13">
        <f t="shared" si="2"/>
        <v>3.4527493476000003E-2</v>
      </c>
      <c r="AA35" s="15">
        <f t="shared" si="3"/>
        <v>8.9088373370000001E-2</v>
      </c>
      <c r="AB35" s="46">
        <f t="shared" si="7"/>
        <v>8.9088373370000001E-2</v>
      </c>
    </row>
    <row r="36" spans="1:28" x14ac:dyDescent="0.7">
      <c r="A36" s="8">
        <v>33</v>
      </c>
      <c r="B36" s="9">
        <v>19000</v>
      </c>
      <c r="C36" s="10">
        <v>-44.020450186761437</v>
      </c>
      <c r="D36" s="10">
        <f t="shared" si="4"/>
        <v>-11.231032743394664</v>
      </c>
      <c r="E36" s="10">
        <v>32.789417443366773</v>
      </c>
      <c r="F36" s="10">
        <f>F35-0.25</f>
        <v>33.226183243366769</v>
      </c>
      <c r="G36" s="11" t="s">
        <v>13</v>
      </c>
      <c r="H36" s="11" t="s">
        <v>16</v>
      </c>
      <c r="I36" s="11"/>
      <c r="J36" s="10"/>
      <c r="K36" s="12"/>
      <c r="L36" s="13">
        <v>1.4999260000000001</v>
      </c>
      <c r="M36" s="13">
        <v>2.6131999999999999E-2</v>
      </c>
      <c r="N36" s="13">
        <f t="shared" si="5"/>
        <v>3.9196066232000004E-2</v>
      </c>
      <c r="O36" s="13">
        <v>1.8007169999999999</v>
      </c>
      <c r="P36" s="13">
        <v>1.2130000000000001E-3</v>
      </c>
      <c r="Q36" s="13">
        <f t="shared" si="0"/>
        <v>2.1842697210000001E-3</v>
      </c>
      <c r="R36" s="13">
        <v>0.99804300000000001</v>
      </c>
      <c r="S36" s="13">
        <v>2.8180000000000002E-3</v>
      </c>
      <c r="T36" s="13">
        <f t="shared" si="6"/>
        <v>2.8124851740000002E-3</v>
      </c>
      <c r="U36" s="13">
        <v>1.7998130000000001</v>
      </c>
      <c r="V36" s="13">
        <v>5.738E-3</v>
      </c>
      <c r="W36" s="13">
        <f t="shared" si="1"/>
        <v>1.0327326994E-2</v>
      </c>
      <c r="X36" s="13">
        <v>0.99888600000000005</v>
      </c>
      <c r="Y36" s="13">
        <v>3.4632000000000003E-2</v>
      </c>
      <c r="Z36" s="13">
        <f t="shared" si="2"/>
        <v>3.4593419952000007E-2</v>
      </c>
      <c r="AA36" s="15">
        <f t="shared" si="3"/>
        <v>8.9113568072999999E-2</v>
      </c>
      <c r="AB36" s="46">
        <f t="shared" si="7"/>
        <v>8.9113568072999999E-2</v>
      </c>
    </row>
    <row r="37" spans="1:28" x14ac:dyDescent="0.7">
      <c r="A37" s="8">
        <v>34</v>
      </c>
      <c r="B37" s="9">
        <v>19000</v>
      </c>
      <c r="C37" s="10">
        <v>-44.020450186761437</v>
      </c>
      <c r="D37" s="10">
        <f t="shared" si="4"/>
        <v>-11.285502843394667</v>
      </c>
      <c r="E37" s="10">
        <v>32.73494734336677</v>
      </c>
      <c r="F37" s="10">
        <f t="shared" si="8"/>
        <v>32.976183243366769</v>
      </c>
      <c r="G37" s="11" t="s">
        <v>13</v>
      </c>
      <c r="H37" s="11" t="s">
        <v>16</v>
      </c>
      <c r="I37" s="11"/>
      <c r="J37" s="10"/>
      <c r="K37" s="12"/>
      <c r="L37" s="13">
        <v>1.4999260000000001</v>
      </c>
      <c r="M37" s="13">
        <v>2.6144000000000001E-2</v>
      </c>
      <c r="N37" s="13">
        <f t="shared" si="5"/>
        <v>3.9214065344000001E-2</v>
      </c>
      <c r="O37" s="13">
        <v>1.8007169999999999</v>
      </c>
      <c r="P37" s="13">
        <v>1.2130000000000001E-3</v>
      </c>
      <c r="Q37" s="13">
        <f t="shared" si="0"/>
        <v>2.1842697210000001E-3</v>
      </c>
      <c r="R37" s="13">
        <v>0.99804300000000001</v>
      </c>
      <c r="S37" s="13">
        <v>2.8180000000000002E-3</v>
      </c>
      <c r="T37" s="13">
        <f t="shared" si="6"/>
        <v>2.8124851740000002E-3</v>
      </c>
      <c r="U37" s="13">
        <v>1.7998130000000001</v>
      </c>
      <c r="V37" s="13">
        <v>5.7359999999999998E-3</v>
      </c>
      <c r="W37" s="13">
        <f t="shared" si="1"/>
        <v>1.0323727368E-2</v>
      </c>
      <c r="X37" s="13">
        <v>0.99888600000000005</v>
      </c>
      <c r="Y37" s="13">
        <v>3.4632000000000003E-2</v>
      </c>
      <c r="Z37" s="13">
        <f t="shared" si="2"/>
        <v>3.4593419952000007E-2</v>
      </c>
      <c r="AA37" s="15">
        <f t="shared" si="3"/>
        <v>8.9127967559000001E-2</v>
      </c>
      <c r="AB37" s="46">
        <f t="shared" si="7"/>
        <v>8.9127967559000001E-2</v>
      </c>
    </row>
    <row r="38" spans="1:28" x14ac:dyDescent="0.7">
      <c r="A38" s="8">
        <v>35</v>
      </c>
      <c r="B38" s="9">
        <v>19000</v>
      </c>
      <c r="C38" s="10">
        <v>-44.020450186761437</v>
      </c>
      <c r="D38" s="10">
        <f t="shared" si="4"/>
        <v>-11.362338343394669</v>
      </c>
      <c r="E38" s="10">
        <v>32.658111843366768</v>
      </c>
      <c r="F38" s="10">
        <f t="shared" si="8"/>
        <v>32.726183243366769</v>
      </c>
      <c r="G38" s="11" t="s">
        <v>13</v>
      </c>
      <c r="H38" s="11" t="s">
        <v>16</v>
      </c>
      <c r="I38" s="11"/>
      <c r="J38" s="10"/>
      <c r="K38" s="12"/>
      <c r="L38" s="13">
        <v>1.4999260000000001</v>
      </c>
      <c r="M38" s="13">
        <v>2.6141999999999999E-2</v>
      </c>
      <c r="N38" s="13">
        <f t="shared" si="5"/>
        <v>3.9211065492E-2</v>
      </c>
      <c r="O38" s="13">
        <v>1.799882</v>
      </c>
      <c r="P38" s="13">
        <v>1.212E-3</v>
      </c>
      <c r="Q38" s="13">
        <f t="shared" si="0"/>
        <v>2.181456984E-3</v>
      </c>
      <c r="R38" s="13">
        <v>0.99804300000000001</v>
      </c>
      <c r="S38" s="13">
        <v>2.82E-3</v>
      </c>
      <c r="T38" s="13">
        <f t="shared" si="6"/>
        <v>2.81448126E-3</v>
      </c>
      <c r="U38" s="13">
        <v>1.7998130000000001</v>
      </c>
      <c r="V38" s="13">
        <v>5.7340000000000004E-3</v>
      </c>
      <c r="W38" s="13">
        <f t="shared" si="1"/>
        <v>1.0320127742000001E-2</v>
      </c>
      <c r="X38" s="13">
        <v>0.99888600000000005</v>
      </c>
      <c r="Y38" s="13">
        <v>3.4566E-2</v>
      </c>
      <c r="Z38" s="13">
        <f t="shared" si="2"/>
        <v>3.4527493476000003E-2</v>
      </c>
      <c r="AA38" s="15">
        <f t="shared" si="3"/>
        <v>8.9054624954000003E-2</v>
      </c>
      <c r="AB38" s="46">
        <f t="shared" si="7"/>
        <v>8.9054624954000003E-2</v>
      </c>
    </row>
    <row r="39" spans="1:28" x14ac:dyDescent="0.7">
      <c r="A39" s="8">
        <v>36</v>
      </c>
      <c r="B39" s="9">
        <v>19000</v>
      </c>
      <c r="C39" s="10">
        <v>-44.020450186761437</v>
      </c>
      <c r="D39" s="10">
        <f t="shared" si="4"/>
        <v>-12.213668643394666</v>
      </c>
      <c r="E39" s="10">
        <v>31.806781543366771</v>
      </c>
      <c r="F39" s="10">
        <f t="shared" si="8"/>
        <v>32.476183243366769</v>
      </c>
      <c r="G39" s="11" t="s">
        <v>13</v>
      </c>
      <c r="H39" s="11" t="s">
        <v>16</v>
      </c>
      <c r="I39" s="11"/>
      <c r="J39" s="10"/>
      <c r="K39" s="12"/>
      <c r="L39" s="13">
        <v>1.4999260000000001</v>
      </c>
      <c r="M39" s="13">
        <v>2.6126E-2</v>
      </c>
      <c r="N39" s="13">
        <f t="shared" si="5"/>
        <v>3.9187066676000006E-2</v>
      </c>
      <c r="O39" s="13">
        <v>1.8007169999999999</v>
      </c>
      <c r="P39" s="13">
        <v>1.2130000000000001E-3</v>
      </c>
      <c r="Q39" s="13">
        <f t="shared" si="0"/>
        <v>2.1842697210000001E-3</v>
      </c>
      <c r="R39" s="13">
        <v>0.99804300000000001</v>
      </c>
      <c r="S39" s="13">
        <v>2.8189999999999999E-3</v>
      </c>
      <c r="T39" s="13">
        <f t="shared" si="6"/>
        <v>2.8134832169999999E-3</v>
      </c>
      <c r="U39" s="13">
        <v>1.8000130000000001</v>
      </c>
      <c r="V39" s="13">
        <v>5.731E-3</v>
      </c>
      <c r="W39" s="13">
        <f t="shared" si="1"/>
        <v>1.0315874503E-2</v>
      </c>
      <c r="X39" s="13">
        <v>0.99888600000000005</v>
      </c>
      <c r="Y39" s="13">
        <v>3.4566E-2</v>
      </c>
      <c r="Z39" s="13">
        <f t="shared" si="2"/>
        <v>3.4527493476000003E-2</v>
      </c>
      <c r="AA39" s="15">
        <f t="shared" si="3"/>
        <v>8.9028187593000005E-2</v>
      </c>
      <c r="AB39" s="46">
        <f t="shared" si="7"/>
        <v>8.9028187593000005E-2</v>
      </c>
    </row>
    <row r="40" spans="1:28" x14ac:dyDescent="0.7">
      <c r="A40" s="8">
        <v>37</v>
      </c>
      <c r="B40" s="9">
        <v>19000</v>
      </c>
      <c r="C40" s="10">
        <v>-44.020450186761437</v>
      </c>
      <c r="D40" s="10">
        <f t="shared" si="4"/>
        <v>-12.293580943394666</v>
      </c>
      <c r="E40" s="10">
        <v>31.726869243366771</v>
      </c>
      <c r="F40" s="10">
        <f t="shared" si="8"/>
        <v>32.226183243366769</v>
      </c>
      <c r="G40" s="11" t="s">
        <v>13</v>
      </c>
      <c r="H40" s="11" t="s">
        <v>16</v>
      </c>
      <c r="I40" s="11"/>
      <c r="J40" s="10"/>
      <c r="K40" s="12"/>
      <c r="L40" s="13">
        <v>1.4999260000000001</v>
      </c>
      <c r="M40" s="13">
        <v>2.6138999999999999E-2</v>
      </c>
      <c r="N40" s="13">
        <f t="shared" si="5"/>
        <v>3.9206565714000004E-2</v>
      </c>
      <c r="O40" s="13">
        <v>1.8007169999999999</v>
      </c>
      <c r="P40" s="13">
        <v>1.2130000000000001E-3</v>
      </c>
      <c r="Q40" s="13">
        <f t="shared" si="0"/>
        <v>2.1842697210000001E-3</v>
      </c>
      <c r="R40" s="13">
        <v>0.99804300000000001</v>
      </c>
      <c r="S40" s="13">
        <v>2.8210000000000002E-3</v>
      </c>
      <c r="T40" s="13">
        <f t="shared" si="6"/>
        <v>2.8154793030000002E-3</v>
      </c>
      <c r="U40" s="13">
        <v>1.7998130000000001</v>
      </c>
      <c r="V40" s="13">
        <v>5.7320000000000001E-3</v>
      </c>
      <c r="W40" s="13">
        <f t="shared" si="1"/>
        <v>1.0316528116000001E-2</v>
      </c>
      <c r="X40" s="13">
        <v>0.99888600000000005</v>
      </c>
      <c r="Y40" s="13">
        <v>3.4632000000000003E-2</v>
      </c>
      <c r="Z40" s="13">
        <f t="shared" si="2"/>
        <v>3.4593419952000007E-2</v>
      </c>
      <c r="AA40" s="15">
        <f t="shared" si="3"/>
        <v>8.9116262806000018E-2</v>
      </c>
      <c r="AB40" s="46">
        <f t="shared" si="7"/>
        <v>8.9116262806000018E-2</v>
      </c>
    </row>
    <row r="41" spans="1:28" x14ac:dyDescent="0.7">
      <c r="A41" s="8">
        <v>38</v>
      </c>
      <c r="B41" s="9">
        <v>19000</v>
      </c>
      <c r="C41" s="10">
        <v>-44.020450186761437</v>
      </c>
      <c r="D41" s="10">
        <f t="shared" si="4"/>
        <v>-12.326130443394668</v>
      </c>
      <c r="E41" s="10">
        <v>31.694319743366769</v>
      </c>
      <c r="F41" s="10">
        <f t="shared" si="8"/>
        <v>31.976183243366769</v>
      </c>
      <c r="G41" s="11" t="s">
        <v>13</v>
      </c>
      <c r="H41" s="11" t="s">
        <v>16</v>
      </c>
      <c r="I41" s="11"/>
      <c r="J41" s="10"/>
      <c r="K41" s="12"/>
      <c r="L41" s="13">
        <v>1.4999260000000001</v>
      </c>
      <c r="M41" s="13">
        <v>2.6123E-2</v>
      </c>
      <c r="N41" s="13">
        <f t="shared" si="5"/>
        <v>3.9182566898000003E-2</v>
      </c>
      <c r="O41" s="13">
        <v>1.8007169999999999</v>
      </c>
      <c r="P41" s="13">
        <v>1.2130000000000001E-3</v>
      </c>
      <c r="Q41" s="13">
        <f t="shared" si="0"/>
        <v>2.1842697210000001E-3</v>
      </c>
      <c r="R41" s="13">
        <v>0.99804300000000001</v>
      </c>
      <c r="S41" s="13">
        <v>2.8219999999999999E-3</v>
      </c>
      <c r="T41" s="13">
        <f t="shared" si="6"/>
        <v>2.8164773459999999E-3</v>
      </c>
      <c r="U41" s="13">
        <v>1.7998130000000001</v>
      </c>
      <c r="V41" s="13">
        <v>5.7429999999999998E-3</v>
      </c>
      <c r="W41" s="13">
        <f t="shared" si="1"/>
        <v>1.0336326059000001E-2</v>
      </c>
      <c r="X41" s="13">
        <v>0.99888600000000005</v>
      </c>
      <c r="Y41" s="13">
        <v>3.4632000000000003E-2</v>
      </c>
      <c r="Z41" s="13">
        <f t="shared" si="2"/>
        <v>3.4593419952000007E-2</v>
      </c>
      <c r="AA41" s="15">
        <f t="shared" si="3"/>
        <v>8.9113059975999998E-2</v>
      </c>
      <c r="AB41" s="46">
        <f t="shared" si="7"/>
        <v>8.9113059975999998E-2</v>
      </c>
    </row>
    <row r="42" spans="1:28" x14ac:dyDescent="0.7">
      <c r="A42" s="8">
        <v>39</v>
      </c>
      <c r="B42" s="9">
        <v>19000</v>
      </c>
      <c r="C42" s="10">
        <v>-44.020450186761437</v>
      </c>
      <c r="D42" s="10">
        <f t="shared" si="4"/>
        <v>-12.383796543394666</v>
      </c>
      <c r="E42" s="10">
        <v>31.63665364336677</v>
      </c>
      <c r="F42" s="10">
        <f t="shared" si="8"/>
        <v>31.726183243366769</v>
      </c>
      <c r="G42" s="11" t="s">
        <v>13</v>
      </c>
      <c r="H42" s="11" t="s">
        <v>16</v>
      </c>
      <c r="I42" s="11"/>
      <c r="J42" s="10"/>
      <c r="K42" s="12"/>
      <c r="L42" s="13">
        <v>1.4999260000000001</v>
      </c>
      <c r="M42" s="13">
        <v>2.6141999999999999E-2</v>
      </c>
      <c r="N42" s="13">
        <f t="shared" si="5"/>
        <v>3.9211065492E-2</v>
      </c>
      <c r="O42" s="13">
        <v>1.8007169999999999</v>
      </c>
      <c r="P42" s="13">
        <v>1.2130000000000001E-3</v>
      </c>
      <c r="Q42" s="13">
        <f t="shared" si="0"/>
        <v>2.1842697210000001E-3</v>
      </c>
      <c r="R42" s="13">
        <v>0.99804300000000001</v>
      </c>
      <c r="S42" s="13">
        <v>2.823E-3</v>
      </c>
      <c r="T42" s="13">
        <f t="shared" si="6"/>
        <v>2.817475389E-3</v>
      </c>
      <c r="U42" s="13">
        <v>1.7998130000000001</v>
      </c>
      <c r="V42" s="13">
        <v>5.7390000000000002E-3</v>
      </c>
      <c r="W42" s="13">
        <f t="shared" si="1"/>
        <v>1.0329126807000001E-2</v>
      </c>
      <c r="X42" s="13">
        <v>0.99888600000000005</v>
      </c>
      <c r="Y42" s="13">
        <v>3.4632000000000003E-2</v>
      </c>
      <c r="Z42" s="13">
        <f t="shared" si="2"/>
        <v>3.4593419952000007E-2</v>
      </c>
      <c r="AA42" s="15">
        <f t="shared" si="3"/>
        <v>8.9135357361000006E-2</v>
      </c>
      <c r="AB42" s="46">
        <f t="shared" si="7"/>
        <v>8.9135357361000006E-2</v>
      </c>
    </row>
    <row r="43" spans="1:28" x14ac:dyDescent="0.7">
      <c r="A43" s="8">
        <v>40</v>
      </c>
      <c r="B43" s="9">
        <v>19000</v>
      </c>
      <c r="C43" s="10">
        <v>-44.020450186761437</v>
      </c>
      <c r="D43" s="10">
        <f t="shared" si="4"/>
        <v>-13.312683043394667</v>
      </c>
      <c r="E43" s="10">
        <v>30.70776714336677</v>
      </c>
      <c r="F43" s="10">
        <f t="shared" si="8"/>
        <v>31.476183243366769</v>
      </c>
      <c r="G43" s="11" t="s">
        <v>13</v>
      </c>
      <c r="H43" s="11" t="s">
        <v>16</v>
      </c>
      <c r="I43" s="11"/>
      <c r="J43" s="10"/>
      <c r="K43" s="12"/>
      <c r="L43" s="13">
        <v>1.4999260000000001</v>
      </c>
      <c r="M43" s="13">
        <v>2.613E-2</v>
      </c>
      <c r="N43" s="13">
        <f t="shared" si="5"/>
        <v>3.9193066380000002E-2</v>
      </c>
      <c r="O43" s="13">
        <v>1.8007169999999999</v>
      </c>
      <c r="P43" s="13">
        <v>1.2130000000000001E-3</v>
      </c>
      <c r="Q43" s="13">
        <f t="shared" si="0"/>
        <v>2.1842697210000001E-3</v>
      </c>
      <c r="R43" s="13">
        <v>0.99804300000000001</v>
      </c>
      <c r="S43" s="13">
        <v>2.8119999999999998E-3</v>
      </c>
      <c r="T43" s="13">
        <f t="shared" si="6"/>
        <v>2.8064969159999997E-3</v>
      </c>
      <c r="U43" s="13">
        <v>1.7998130000000001</v>
      </c>
      <c r="V43" s="13">
        <v>5.7340000000000004E-3</v>
      </c>
      <c r="W43" s="13">
        <f t="shared" si="1"/>
        <v>1.0320127742000001E-2</v>
      </c>
      <c r="X43" s="13">
        <v>0.99888600000000005</v>
      </c>
      <c r="Y43" s="13">
        <v>3.4632000000000003E-2</v>
      </c>
      <c r="Z43" s="13">
        <f t="shared" si="2"/>
        <v>3.4593419952000007E-2</v>
      </c>
      <c r="AA43" s="15">
        <f t="shared" si="3"/>
        <v>8.9097380711000013E-2</v>
      </c>
      <c r="AB43" s="46">
        <f t="shared" si="7"/>
        <v>8.9097380711000013E-2</v>
      </c>
    </row>
    <row r="44" spans="1:28" x14ac:dyDescent="0.7">
      <c r="A44" s="8">
        <v>41</v>
      </c>
      <c r="B44" s="9">
        <v>19000</v>
      </c>
      <c r="C44" s="10">
        <v>-44.020450186761437</v>
      </c>
      <c r="D44" s="10">
        <f t="shared" si="4"/>
        <v>-13.389555943394665</v>
      </c>
      <c r="E44" s="10">
        <v>30.630894243366772</v>
      </c>
      <c r="F44" s="10">
        <f t="shared" si="8"/>
        <v>31.226183243366769</v>
      </c>
      <c r="G44" s="11" t="s">
        <v>13</v>
      </c>
      <c r="H44" s="11" t="s">
        <v>16</v>
      </c>
      <c r="I44" s="11"/>
      <c r="J44" s="10"/>
      <c r="K44" s="12"/>
      <c r="L44" s="13">
        <v>1.4999260000000001</v>
      </c>
      <c r="M44" s="13">
        <v>2.6148999999999999E-2</v>
      </c>
      <c r="N44" s="13">
        <f t="shared" si="5"/>
        <v>3.9221564973999999E-2</v>
      </c>
      <c r="O44" s="13">
        <v>1.8007169999999999</v>
      </c>
      <c r="P44" s="13">
        <v>1.2130000000000001E-3</v>
      </c>
      <c r="Q44" s="13">
        <f t="shared" si="0"/>
        <v>2.1842697210000001E-3</v>
      </c>
      <c r="R44" s="13">
        <v>0.99804300000000001</v>
      </c>
      <c r="S44" s="13">
        <v>2.8140000000000001E-3</v>
      </c>
      <c r="T44" s="13">
        <f t="shared" si="6"/>
        <v>2.808493002E-3</v>
      </c>
      <c r="U44" s="13">
        <v>1.7998130000000001</v>
      </c>
      <c r="V44" s="13">
        <v>5.7340000000000004E-3</v>
      </c>
      <c r="W44" s="13">
        <f t="shared" si="1"/>
        <v>1.0320127742000001E-2</v>
      </c>
      <c r="X44" s="13">
        <v>0.99888600000000005</v>
      </c>
      <c r="Y44" s="13">
        <v>3.4632000000000003E-2</v>
      </c>
      <c r="Z44" s="13">
        <f t="shared" si="2"/>
        <v>3.4593419952000007E-2</v>
      </c>
      <c r="AA44" s="15">
        <f t="shared" si="3"/>
        <v>8.9127875391000005E-2</v>
      </c>
      <c r="AB44" s="46">
        <f t="shared" si="7"/>
        <v>8.9127875391000005E-2</v>
      </c>
    </row>
    <row r="45" spans="1:28" x14ac:dyDescent="0.7">
      <c r="A45" s="8">
        <v>42</v>
      </c>
      <c r="B45" s="9">
        <v>19000</v>
      </c>
      <c r="C45" s="10">
        <v>-44.020450186761437</v>
      </c>
      <c r="D45" s="10">
        <f t="shared" si="4"/>
        <v>-13.443005743394668</v>
      </c>
      <c r="E45" s="10">
        <v>30.577444443366769</v>
      </c>
      <c r="F45" s="10">
        <f t="shared" si="8"/>
        <v>30.976183243366769</v>
      </c>
      <c r="G45" s="11" t="s">
        <v>13</v>
      </c>
      <c r="H45" s="11" t="s">
        <v>16</v>
      </c>
      <c r="I45" s="11"/>
      <c r="J45" s="10"/>
      <c r="K45" s="12"/>
      <c r="L45" s="13">
        <v>1.4999260000000001</v>
      </c>
      <c r="M45" s="13">
        <v>2.6148999999999999E-2</v>
      </c>
      <c r="N45" s="13">
        <f t="shared" si="5"/>
        <v>3.9221564973999999E-2</v>
      </c>
      <c r="O45" s="13">
        <v>1.8007169999999999</v>
      </c>
      <c r="P45" s="13">
        <v>1.2130000000000001E-3</v>
      </c>
      <c r="Q45" s="13">
        <f t="shared" si="0"/>
        <v>2.1842697210000001E-3</v>
      </c>
      <c r="R45" s="13">
        <v>0.99804300000000001</v>
      </c>
      <c r="S45" s="13">
        <v>2.8149999999999998E-3</v>
      </c>
      <c r="T45" s="13">
        <f t="shared" si="6"/>
        <v>2.8094910449999997E-3</v>
      </c>
      <c r="U45" s="13">
        <v>1.7998130000000001</v>
      </c>
      <c r="V45" s="13">
        <v>5.7359999999999998E-3</v>
      </c>
      <c r="W45" s="13">
        <f t="shared" si="1"/>
        <v>1.0323727368E-2</v>
      </c>
      <c r="X45" s="13">
        <v>0.99888600000000005</v>
      </c>
      <c r="Y45" s="13">
        <v>3.4632000000000003E-2</v>
      </c>
      <c r="Z45" s="13">
        <f t="shared" si="2"/>
        <v>3.4593419952000007E-2</v>
      </c>
      <c r="AA45" s="15">
        <f t="shared" si="3"/>
        <v>8.9132473060000009E-2</v>
      </c>
      <c r="AB45" s="46">
        <f t="shared" si="7"/>
        <v>8.9132473060000009E-2</v>
      </c>
    </row>
    <row r="46" spans="1:28" x14ac:dyDescent="0.7">
      <c r="A46" s="8">
        <v>43</v>
      </c>
      <c r="B46" s="9">
        <v>19000</v>
      </c>
      <c r="C46" s="10">
        <v>-44.020450186761437</v>
      </c>
      <c r="D46" s="10">
        <f t="shared" si="4"/>
        <v>-13.519353243394669</v>
      </c>
      <c r="E46" s="10">
        <v>30.501096943366768</v>
      </c>
      <c r="F46" s="10">
        <f t="shared" si="8"/>
        <v>30.726183243366769</v>
      </c>
      <c r="G46" s="11" t="s">
        <v>13</v>
      </c>
      <c r="H46" s="11" t="s">
        <v>16</v>
      </c>
      <c r="I46" s="11"/>
      <c r="J46" s="10"/>
      <c r="K46" s="12"/>
      <c r="L46" s="13">
        <v>1.4999260000000001</v>
      </c>
      <c r="M46" s="13">
        <v>2.6138999999999999E-2</v>
      </c>
      <c r="N46" s="13">
        <f t="shared" si="5"/>
        <v>3.9206565714000004E-2</v>
      </c>
      <c r="O46" s="13">
        <v>1.8007169999999999</v>
      </c>
      <c r="P46" s="13">
        <v>1.2130000000000001E-3</v>
      </c>
      <c r="Q46" s="13">
        <f t="shared" si="0"/>
        <v>2.1842697210000001E-3</v>
      </c>
      <c r="R46" s="13">
        <v>0.99804300000000001</v>
      </c>
      <c r="S46" s="13">
        <v>2.8159999999999999E-3</v>
      </c>
      <c r="T46" s="13">
        <f t="shared" si="6"/>
        <v>2.8104890879999999E-3</v>
      </c>
      <c r="U46" s="13">
        <v>1.7998130000000001</v>
      </c>
      <c r="V46" s="13">
        <v>5.7320000000000001E-3</v>
      </c>
      <c r="W46" s="13">
        <f t="shared" si="1"/>
        <v>1.0316528116000001E-2</v>
      </c>
      <c r="X46" s="13">
        <v>0.99888600000000005</v>
      </c>
      <c r="Y46" s="13">
        <v>3.4632000000000003E-2</v>
      </c>
      <c r="Z46" s="13">
        <f t="shared" si="2"/>
        <v>3.4593419952000007E-2</v>
      </c>
      <c r="AA46" s="15">
        <f t="shared" si="3"/>
        <v>8.9111272591000018E-2</v>
      </c>
      <c r="AB46" s="46">
        <f t="shared" si="7"/>
        <v>8.9111272591000018E-2</v>
      </c>
    </row>
    <row r="47" spans="1:28" x14ac:dyDescent="0.7">
      <c r="A47" s="8">
        <v>44</v>
      </c>
      <c r="B47" s="9">
        <v>19000</v>
      </c>
      <c r="C47" s="10">
        <v>-44.020450186761437</v>
      </c>
      <c r="D47" s="10">
        <f t="shared" si="4"/>
        <v>-14.438350943394667</v>
      </c>
      <c r="E47" s="10">
        <v>29.58209924336677</v>
      </c>
      <c r="F47" s="10">
        <f t="shared" si="8"/>
        <v>30.476183243366769</v>
      </c>
      <c r="G47" s="11" t="s">
        <v>13</v>
      </c>
      <c r="H47" s="11" t="s">
        <v>16</v>
      </c>
      <c r="I47" s="11"/>
      <c r="J47" s="10"/>
      <c r="K47" s="12"/>
      <c r="L47" s="13">
        <v>1.4999260000000001</v>
      </c>
      <c r="M47" s="13">
        <v>2.6126E-2</v>
      </c>
      <c r="N47" s="13">
        <f t="shared" si="5"/>
        <v>3.9187066676000006E-2</v>
      </c>
      <c r="O47" s="13">
        <v>1.8007169999999999</v>
      </c>
      <c r="P47" s="13">
        <v>1.2130000000000001E-3</v>
      </c>
      <c r="Q47" s="13">
        <f t="shared" si="0"/>
        <v>2.1842697210000001E-3</v>
      </c>
      <c r="R47" s="13">
        <v>0.99804300000000001</v>
      </c>
      <c r="S47" s="13">
        <v>2.8149999999999998E-3</v>
      </c>
      <c r="T47" s="13">
        <f t="shared" si="6"/>
        <v>2.8094910449999997E-3</v>
      </c>
      <c r="U47" s="13">
        <v>1.7998130000000001</v>
      </c>
      <c r="V47" s="13">
        <v>5.7359999999999998E-3</v>
      </c>
      <c r="W47" s="13">
        <f t="shared" si="1"/>
        <v>1.0323727368E-2</v>
      </c>
      <c r="X47" s="13">
        <v>0.99888600000000005</v>
      </c>
      <c r="Y47" s="13">
        <v>3.4696999999999999E-2</v>
      </c>
      <c r="Z47" s="13">
        <f t="shared" si="2"/>
        <v>3.4658347542E-2</v>
      </c>
      <c r="AA47" s="15">
        <f t="shared" si="3"/>
        <v>8.9162902352000001E-2</v>
      </c>
      <c r="AB47" s="46">
        <f t="shared" si="7"/>
        <v>8.9162902352000001E-2</v>
      </c>
    </row>
    <row r="48" spans="1:28" x14ac:dyDescent="0.7">
      <c r="A48" s="8">
        <v>45</v>
      </c>
      <c r="B48" s="9">
        <v>19000</v>
      </c>
      <c r="C48" s="10">
        <v>-44.020450186761437</v>
      </c>
      <c r="D48" s="10">
        <f t="shared" si="4"/>
        <v>-14.499988643394666</v>
      </c>
      <c r="E48" s="10">
        <v>29.520461543366771</v>
      </c>
      <c r="F48" s="10">
        <f t="shared" si="8"/>
        <v>30.226183243366769</v>
      </c>
      <c r="G48" s="11" t="s">
        <v>13</v>
      </c>
      <c r="H48" s="11" t="s">
        <v>16</v>
      </c>
      <c r="I48" s="11"/>
      <c r="J48" s="10"/>
      <c r="K48" s="12"/>
      <c r="L48" s="13">
        <v>1.5001260000000001</v>
      </c>
      <c r="M48" s="13">
        <v>2.6117999999999999E-2</v>
      </c>
      <c r="N48" s="13">
        <f t="shared" si="5"/>
        <v>3.9180290867999998E-2</v>
      </c>
      <c r="O48" s="13">
        <v>1.8007169999999999</v>
      </c>
      <c r="P48" s="13">
        <v>1.2130000000000001E-3</v>
      </c>
      <c r="Q48" s="13">
        <f t="shared" si="0"/>
        <v>2.1842697210000001E-3</v>
      </c>
      <c r="R48" s="13">
        <v>0.99804300000000001</v>
      </c>
      <c r="S48" s="13">
        <v>2.8170000000000001E-3</v>
      </c>
      <c r="T48" s="13">
        <f t="shared" si="6"/>
        <v>2.811487131E-3</v>
      </c>
      <c r="U48" s="13">
        <v>1.7998130000000001</v>
      </c>
      <c r="V48" s="13">
        <v>5.7390000000000002E-3</v>
      </c>
      <c r="W48" s="13">
        <f t="shared" si="1"/>
        <v>1.0329126807000001E-2</v>
      </c>
      <c r="X48" s="13">
        <v>0.99888600000000005</v>
      </c>
      <c r="Y48" s="13">
        <v>3.4696999999999999E-2</v>
      </c>
      <c r="Z48" s="13">
        <f t="shared" si="2"/>
        <v>3.4658347542E-2</v>
      </c>
      <c r="AA48" s="15">
        <f t="shared" si="3"/>
        <v>8.9163522068999995E-2</v>
      </c>
      <c r="AB48" s="46">
        <f t="shared" si="7"/>
        <v>8.9163522068999995E-2</v>
      </c>
    </row>
    <row r="49" spans="1:28" x14ac:dyDescent="0.7">
      <c r="A49" s="8">
        <v>46</v>
      </c>
      <c r="B49" s="9">
        <v>19000</v>
      </c>
      <c r="C49" s="10">
        <v>-44.020450186761437</v>
      </c>
      <c r="D49" s="10">
        <f t="shared" si="4"/>
        <v>-14.540900543394667</v>
      </c>
      <c r="E49" s="10">
        <v>29.47954964336677</v>
      </c>
      <c r="F49" s="10">
        <f t="shared" si="8"/>
        <v>29.976183243366769</v>
      </c>
      <c r="G49" s="11" t="s">
        <v>13</v>
      </c>
      <c r="H49" s="11" t="s">
        <v>16</v>
      </c>
      <c r="I49" s="11"/>
      <c r="J49" s="10"/>
      <c r="K49" s="12"/>
      <c r="L49" s="13">
        <v>1.4999260000000001</v>
      </c>
      <c r="M49" s="13">
        <v>2.6127999999999998E-2</v>
      </c>
      <c r="N49" s="13">
        <f t="shared" si="5"/>
        <v>3.9190066528E-2</v>
      </c>
      <c r="O49" s="13">
        <v>1.8007169999999999</v>
      </c>
      <c r="P49" s="13">
        <v>1.2130000000000001E-3</v>
      </c>
      <c r="Q49" s="13">
        <f t="shared" si="0"/>
        <v>2.1842697210000001E-3</v>
      </c>
      <c r="R49" s="13">
        <v>0.99804300000000001</v>
      </c>
      <c r="S49" s="13">
        <v>2.8170000000000001E-3</v>
      </c>
      <c r="T49" s="13">
        <f t="shared" si="6"/>
        <v>2.811487131E-3</v>
      </c>
      <c r="U49" s="13">
        <v>1.8000130000000001</v>
      </c>
      <c r="V49" s="13">
        <v>5.7359999999999998E-3</v>
      </c>
      <c r="W49" s="13">
        <f t="shared" si="1"/>
        <v>1.0324874568000001E-2</v>
      </c>
      <c r="X49" s="13">
        <v>0.99888600000000005</v>
      </c>
      <c r="Y49" s="13">
        <v>3.4696999999999999E-2</v>
      </c>
      <c r="Z49" s="13">
        <f t="shared" si="2"/>
        <v>3.4658347542E-2</v>
      </c>
      <c r="AA49" s="15">
        <f t="shared" si="3"/>
        <v>8.9169045489999987E-2</v>
      </c>
      <c r="AB49" s="46">
        <f t="shared" si="7"/>
        <v>8.9169045489999987E-2</v>
      </c>
    </row>
    <row r="50" spans="1:28" x14ac:dyDescent="0.7">
      <c r="A50" s="8">
        <v>47</v>
      </c>
      <c r="B50" s="9">
        <v>19000</v>
      </c>
      <c r="C50" s="10">
        <v>-44.020450186761437</v>
      </c>
      <c r="D50" s="10">
        <f t="shared" si="4"/>
        <v>-14.629987043394667</v>
      </c>
      <c r="E50" s="10">
        <v>29.39046314336677</v>
      </c>
      <c r="F50" s="10">
        <f t="shared" si="8"/>
        <v>29.726183243366769</v>
      </c>
      <c r="G50" s="11" t="s">
        <v>13</v>
      </c>
      <c r="H50" s="11" t="s">
        <v>16</v>
      </c>
      <c r="I50" s="11"/>
      <c r="J50" s="10"/>
      <c r="K50" s="12"/>
      <c r="L50" s="13">
        <v>1.4999260000000001</v>
      </c>
      <c r="M50" s="13">
        <v>2.6120999999999998E-2</v>
      </c>
      <c r="N50" s="13">
        <f t="shared" si="5"/>
        <v>3.9179567046000001E-2</v>
      </c>
      <c r="O50" s="13">
        <v>1.8007169999999999</v>
      </c>
      <c r="P50" s="13">
        <v>1.2130000000000001E-3</v>
      </c>
      <c r="Q50" s="13">
        <f t="shared" si="0"/>
        <v>2.1842697210000001E-3</v>
      </c>
      <c r="R50" s="13">
        <v>0.99804300000000001</v>
      </c>
      <c r="S50" s="13">
        <v>2.8180000000000002E-3</v>
      </c>
      <c r="T50" s="13">
        <f t="shared" si="6"/>
        <v>2.8124851740000002E-3</v>
      </c>
      <c r="U50" s="13">
        <v>1.8000130000000001</v>
      </c>
      <c r="V50" s="13">
        <v>5.738E-3</v>
      </c>
      <c r="W50" s="13">
        <f t="shared" si="1"/>
        <v>1.0328474594000001E-2</v>
      </c>
      <c r="X50" s="13">
        <v>0.99888600000000005</v>
      </c>
      <c r="Y50" s="13">
        <v>3.4632000000000003E-2</v>
      </c>
      <c r="Z50" s="13">
        <f t="shared" si="2"/>
        <v>3.4593419952000007E-2</v>
      </c>
      <c r="AA50" s="15">
        <f t="shared" si="3"/>
        <v>8.9098216487000004E-2</v>
      </c>
      <c r="AB50" s="46">
        <f t="shared" si="7"/>
        <v>8.9098216487000004E-2</v>
      </c>
    </row>
    <row r="51" spans="1:28" x14ac:dyDescent="0.7">
      <c r="A51" s="8">
        <v>48</v>
      </c>
      <c r="B51" s="9">
        <v>19000</v>
      </c>
      <c r="C51" s="10">
        <v>-44.020450186761437</v>
      </c>
      <c r="D51" s="10">
        <f t="shared" si="4"/>
        <v>-15.601605243394665</v>
      </c>
      <c r="E51" s="10">
        <v>28.418844943366771</v>
      </c>
      <c r="F51" s="10">
        <f t="shared" si="8"/>
        <v>29.476183243366769</v>
      </c>
      <c r="G51" s="11" t="s">
        <v>13</v>
      </c>
      <c r="H51" s="11" t="s">
        <v>16</v>
      </c>
      <c r="I51" s="11"/>
      <c r="J51" s="10"/>
      <c r="K51" s="12"/>
      <c r="L51" s="13">
        <v>1.4999260000000001</v>
      </c>
      <c r="M51" s="13">
        <v>2.6134999999999999E-2</v>
      </c>
      <c r="N51" s="13">
        <f t="shared" si="5"/>
        <v>3.920056601E-2</v>
      </c>
      <c r="O51" s="13">
        <v>1.8007169999999999</v>
      </c>
      <c r="P51" s="13">
        <v>1.2130000000000001E-3</v>
      </c>
      <c r="Q51" s="13">
        <f t="shared" si="0"/>
        <v>2.1842697210000001E-3</v>
      </c>
      <c r="R51" s="13">
        <v>0.99804300000000001</v>
      </c>
      <c r="S51" s="13">
        <v>2.8140000000000001E-3</v>
      </c>
      <c r="T51" s="13">
        <f t="shared" si="6"/>
        <v>2.808493002E-3</v>
      </c>
      <c r="U51" s="13">
        <v>1.8000130000000001</v>
      </c>
      <c r="V51" s="13">
        <v>5.7409999999999996E-3</v>
      </c>
      <c r="W51" s="13">
        <f t="shared" si="1"/>
        <v>1.0333874632999999E-2</v>
      </c>
      <c r="X51" s="13">
        <v>0.99888600000000005</v>
      </c>
      <c r="Y51" s="13">
        <v>3.4632000000000003E-2</v>
      </c>
      <c r="Z51" s="13">
        <f t="shared" si="2"/>
        <v>3.4593419952000007E-2</v>
      </c>
      <c r="AA51" s="15">
        <f t="shared" si="3"/>
        <v>8.9120623317999997E-2</v>
      </c>
      <c r="AB51" s="46">
        <f t="shared" si="7"/>
        <v>8.9120623317999997E-2</v>
      </c>
    </row>
    <row r="52" spans="1:28" x14ac:dyDescent="0.7">
      <c r="A52" s="8">
        <v>49</v>
      </c>
      <c r="B52" s="9">
        <v>19000</v>
      </c>
      <c r="C52" s="10">
        <v>-44.020450186761437</v>
      </c>
      <c r="D52" s="10">
        <f t="shared" si="4"/>
        <v>-15.676417843394667</v>
      </c>
      <c r="E52" s="10">
        <v>28.34403234336677</v>
      </c>
      <c r="F52" s="10">
        <f t="shared" si="8"/>
        <v>29.226183243366769</v>
      </c>
      <c r="G52" s="11" t="s">
        <v>13</v>
      </c>
      <c r="H52" s="11" t="s">
        <v>16</v>
      </c>
      <c r="I52" s="11"/>
      <c r="J52" s="10"/>
      <c r="K52" s="12"/>
      <c r="L52" s="13">
        <v>1.4999260000000001</v>
      </c>
      <c r="M52" s="13">
        <v>2.6131999999999999E-2</v>
      </c>
      <c r="N52" s="13">
        <f t="shared" si="5"/>
        <v>3.9196066232000004E-2</v>
      </c>
      <c r="O52" s="13">
        <v>1.8007169999999999</v>
      </c>
      <c r="P52" s="13">
        <v>1.2130000000000001E-3</v>
      </c>
      <c r="Q52" s="13">
        <f t="shared" si="0"/>
        <v>2.1842697210000001E-3</v>
      </c>
      <c r="R52" s="13">
        <v>0.99804300000000001</v>
      </c>
      <c r="S52" s="13">
        <v>2.8170000000000001E-3</v>
      </c>
      <c r="T52" s="13">
        <f t="shared" si="6"/>
        <v>2.811487131E-3</v>
      </c>
      <c r="U52" s="13">
        <v>1.7998130000000001</v>
      </c>
      <c r="V52" s="13">
        <v>5.7359999999999998E-3</v>
      </c>
      <c r="W52" s="13">
        <f t="shared" si="1"/>
        <v>1.0323727368E-2</v>
      </c>
      <c r="X52" s="13">
        <v>0.99888600000000005</v>
      </c>
      <c r="Y52" s="13">
        <v>3.4632000000000003E-2</v>
      </c>
      <c r="Z52" s="13">
        <f t="shared" si="2"/>
        <v>3.4593419952000007E-2</v>
      </c>
      <c r="AA52" s="15">
        <f t="shared" si="3"/>
        <v>8.910897040400001E-2</v>
      </c>
      <c r="AB52" s="46">
        <f t="shared" si="7"/>
        <v>8.910897040400001E-2</v>
      </c>
    </row>
    <row r="53" spans="1:28" x14ac:dyDescent="0.7">
      <c r="A53" s="8">
        <v>50</v>
      </c>
      <c r="B53" s="9">
        <v>19000</v>
      </c>
      <c r="C53" s="10">
        <v>-44.020450186761437</v>
      </c>
      <c r="D53" s="10">
        <f t="shared" si="4"/>
        <v>-15.761908443394667</v>
      </c>
      <c r="E53" s="10">
        <v>28.25854174336677</v>
      </c>
      <c r="F53" s="10">
        <f t="shared" si="8"/>
        <v>28.976183243366769</v>
      </c>
      <c r="G53" s="11" t="s">
        <v>13</v>
      </c>
      <c r="H53" s="11" t="s">
        <v>16</v>
      </c>
      <c r="I53" s="11"/>
      <c r="J53" s="10"/>
      <c r="K53" s="12"/>
      <c r="L53" s="13">
        <v>1.4999260000000001</v>
      </c>
      <c r="M53" s="13">
        <v>2.6162000000000001E-2</v>
      </c>
      <c r="N53" s="13">
        <f t="shared" si="5"/>
        <v>3.9241064012000004E-2</v>
      </c>
      <c r="O53" s="13">
        <v>1.8007169999999999</v>
      </c>
      <c r="P53" s="13">
        <v>1.2130000000000001E-3</v>
      </c>
      <c r="Q53" s="13">
        <f t="shared" si="0"/>
        <v>2.1842697210000001E-3</v>
      </c>
      <c r="R53" s="13">
        <v>0.99804300000000001</v>
      </c>
      <c r="S53" s="13">
        <v>2.8170000000000001E-3</v>
      </c>
      <c r="T53" s="13">
        <f t="shared" si="6"/>
        <v>2.811487131E-3</v>
      </c>
      <c r="U53" s="13">
        <v>1.7998130000000001</v>
      </c>
      <c r="V53" s="13">
        <v>5.7390000000000002E-3</v>
      </c>
      <c r="W53" s="13">
        <f t="shared" si="1"/>
        <v>1.0329126807000001E-2</v>
      </c>
      <c r="X53" s="13">
        <v>0.99888600000000005</v>
      </c>
      <c r="Y53" s="13">
        <v>3.4632000000000003E-2</v>
      </c>
      <c r="Z53" s="13">
        <f t="shared" si="2"/>
        <v>3.4593419952000007E-2</v>
      </c>
      <c r="AA53" s="15">
        <f t="shared" si="3"/>
        <v>8.9159367623000002E-2</v>
      </c>
      <c r="AB53" s="46">
        <f t="shared" si="7"/>
        <v>8.9159367623000002E-2</v>
      </c>
    </row>
    <row r="54" spans="1:28" x14ac:dyDescent="0.7">
      <c r="A54" s="8">
        <v>51</v>
      </c>
      <c r="B54" s="9">
        <v>19000</v>
      </c>
      <c r="C54" s="10">
        <v>-44.020450186761437</v>
      </c>
      <c r="D54" s="10">
        <f t="shared" si="4"/>
        <v>-15.857070443394665</v>
      </c>
      <c r="E54" s="10">
        <v>28.163379743366772</v>
      </c>
      <c r="F54" s="10">
        <f t="shared" si="8"/>
        <v>28.726183243366769</v>
      </c>
      <c r="G54" s="11" t="s">
        <v>13</v>
      </c>
      <c r="H54" s="11" t="s">
        <v>16</v>
      </c>
      <c r="I54" s="11"/>
      <c r="J54" s="10"/>
      <c r="K54" s="12"/>
      <c r="L54" s="13">
        <v>1.4999260000000001</v>
      </c>
      <c r="M54" s="13">
        <v>2.6137000000000001E-2</v>
      </c>
      <c r="N54" s="13">
        <f t="shared" si="5"/>
        <v>3.9203565862000002E-2</v>
      </c>
      <c r="O54" s="13">
        <v>1.8007169999999999</v>
      </c>
      <c r="P54" s="13">
        <v>1.2130000000000001E-3</v>
      </c>
      <c r="Q54" s="13">
        <f t="shared" si="0"/>
        <v>2.1842697210000001E-3</v>
      </c>
      <c r="R54" s="13">
        <v>0.99804300000000001</v>
      </c>
      <c r="S54" s="13">
        <v>2.8180000000000002E-3</v>
      </c>
      <c r="T54" s="13">
        <f t="shared" si="6"/>
        <v>2.8124851740000002E-3</v>
      </c>
      <c r="U54" s="13">
        <v>1.7998130000000001</v>
      </c>
      <c r="V54" s="13">
        <v>5.7409999999999996E-3</v>
      </c>
      <c r="W54" s="13">
        <f t="shared" si="1"/>
        <v>1.0332726432999999E-2</v>
      </c>
      <c r="X54" s="13">
        <v>0.99888600000000005</v>
      </c>
      <c r="Y54" s="13">
        <v>3.4632000000000003E-2</v>
      </c>
      <c r="Z54" s="13">
        <f t="shared" si="2"/>
        <v>3.4593419952000007E-2</v>
      </c>
      <c r="AA54" s="15">
        <f t="shared" si="3"/>
        <v>8.912646714200001E-2</v>
      </c>
      <c r="AB54" s="46">
        <f t="shared" si="7"/>
        <v>8.912646714200001E-2</v>
      </c>
    </row>
    <row r="55" spans="1:28" x14ac:dyDescent="0.7">
      <c r="A55" s="8">
        <v>52</v>
      </c>
      <c r="B55" s="9">
        <v>19000</v>
      </c>
      <c r="C55" s="10">
        <v>-44.020450186761437</v>
      </c>
      <c r="D55" s="10">
        <f t="shared" si="4"/>
        <v>-16.800765943394666</v>
      </c>
      <c r="E55" s="10">
        <v>27.219684243366771</v>
      </c>
      <c r="F55" s="10">
        <f t="shared" si="8"/>
        <v>28.476183243366769</v>
      </c>
      <c r="G55" s="11" t="s">
        <v>13</v>
      </c>
      <c r="H55" s="11" t="s">
        <v>16</v>
      </c>
      <c r="I55" s="11"/>
      <c r="J55" s="10"/>
      <c r="K55" s="12"/>
      <c r="L55" s="13">
        <v>1.4999260000000001</v>
      </c>
      <c r="M55" s="13">
        <v>2.6145999999999999E-2</v>
      </c>
      <c r="N55" s="13">
        <f t="shared" si="5"/>
        <v>3.9217065196000003E-2</v>
      </c>
      <c r="O55" s="13">
        <v>1.8007169999999999</v>
      </c>
      <c r="P55" s="13">
        <v>1.214E-3</v>
      </c>
      <c r="Q55" s="13">
        <f t="shared" si="0"/>
        <v>2.186070438E-3</v>
      </c>
      <c r="R55" s="13">
        <v>0.99804300000000001</v>
      </c>
      <c r="S55" s="13">
        <v>2.8170000000000001E-3</v>
      </c>
      <c r="T55" s="13">
        <f t="shared" si="6"/>
        <v>2.811487131E-3</v>
      </c>
      <c r="U55" s="13">
        <v>1.7998130000000001</v>
      </c>
      <c r="V55" s="13">
        <v>5.7340000000000004E-3</v>
      </c>
      <c r="W55" s="13">
        <f t="shared" si="1"/>
        <v>1.0320127742000001E-2</v>
      </c>
      <c r="X55" s="13">
        <v>0.99888600000000005</v>
      </c>
      <c r="Y55" s="13">
        <v>3.4566E-2</v>
      </c>
      <c r="Z55" s="13">
        <f t="shared" si="2"/>
        <v>3.4527493476000003E-2</v>
      </c>
      <c r="AA55" s="15">
        <f t="shared" si="3"/>
        <v>8.9062243983E-2</v>
      </c>
      <c r="AB55" s="46">
        <f t="shared" si="7"/>
        <v>8.9062243983E-2</v>
      </c>
    </row>
    <row r="56" spans="1:28" x14ac:dyDescent="0.7">
      <c r="A56" s="8">
        <v>53</v>
      </c>
      <c r="B56" s="9">
        <v>19000</v>
      </c>
      <c r="C56" s="10">
        <v>-44.020450186761437</v>
      </c>
      <c r="D56" s="10">
        <f t="shared" si="4"/>
        <v>-16.850560243394668</v>
      </c>
      <c r="E56" s="10">
        <v>27.169889943366769</v>
      </c>
      <c r="F56" s="10">
        <f>F55-0.25</f>
        <v>28.226183243366769</v>
      </c>
      <c r="G56" s="11" t="s">
        <v>13</v>
      </c>
      <c r="H56" s="11" t="s">
        <v>16</v>
      </c>
      <c r="I56" s="11"/>
      <c r="J56" s="10"/>
      <c r="K56" s="12"/>
      <c r="L56" s="13">
        <v>1.4999260000000001</v>
      </c>
      <c r="M56" s="13">
        <v>2.6152999999999999E-2</v>
      </c>
      <c r="N56" s="13">
        <f t="shared" si="5"/>
        <v>3.9227564678000003E-2</v>
      </c>
      <c r="O56" s="13">
        <v>1.8007169999999999</v>
      </c>
      <c r="P56" s="13">
        <v>1.2130000000000001E-3</v>
      </c>
      <c r="Q56" s="13">
        <f t="shared" si="0"/>
        <v>2.1842697210000001E-3</v>
      </c>
      <c r="R56" s="13">
        <v>0.99804300000000001</v>
      </c>
      <c r="S56" s="13">
        <v>2.8189999999999999E-3</v>
      </c>
      <c r="T56" s="13">
        <f t="shared" si="6"/>
        <v>2.8134832169999999E-3</v>
      </c>
      <c r="U56" s="13">
        <v>1.7998130000000001</v>
      </c>
      <c r="V56" s="13">
        <v>5.7409999999999996E-3</v>
      </c>
      <c r="W56" s="13">
        <f t="shared" si="1"/>
        <v>1.0332726432999999E-2</v>
      </c>
      <c r="X56" s="13">
        <v>0.99888600000000005</v>
      </c>
      <c r="Y56" s="13">
        <v>3.4632000000000003E-2</v>
      </c>
      <c r="Z56" s="13">
        <f t="shared" si="2"/>
        <v>3.4593419952000007E-2</v>
      </c>
      <c r="AA56" s="15">
        <f t="shared" si="3"/>
        <v>8.9151464001000005E-2</v>
      </c>
      <c r="AB56" s="46">
        <f t="shared" si="7"/>
        <v>8.9151464001000005E-2</v>
      </c>
    </row>
    <row r="57" spans="1:28" x14ac:dyDescent="0.7">
      <c r="A57" s="8">
        <v>54</v>
      </c>
      <c r="B57" s="9">
        <v>19000</v>
      </c>
      <c r="C57" s="10">
        <v>-44.020450186761437</v>
      </c>
      <c r="D57" s="10">
        <f t="shared" si="4"/>
        <v>-16.948119143394667</v>
      </c>
      <c r="E57" s="10">
        <v>27.07233104336677</v>
      </c>
      <c r="F57" s="10">
        <f t="shared" si="8"/>
        <v>27.976183243366769</v>
      </c>
      <c r="G57" s="11" t="s">
        <v>13</v>
      </c>
      <c r="H57" s="11" t="s">
        <v>16</v>
      </c>
      <c r="I57" s="11"/>
      <c r="J57" s="10"/>
      <c r="K57" s="12"/>
      <c r="L57" s="13">
        <v>1.4999260000000001</v>
      </c>
      <c r="M57" s="13">
        <v>2.6145999999999999E-2</v>
      </c>
      <c r="N57" s="13">
        <f t="shared" si="5"/>
        <v>3.9217065196000003E-2</v>
      </c>
      <c r="O57" s="13">
        <v>1.8007169999999999</v>
      </c>
      <c r="P57" s="13">
        <v>1.2130000000000001E-3</v>
      </c>
      <c r="Q57" s="13">
        <f t="shared" si="0"/>
        <v>2.1842697210000001E-3</v>
      </c>
      <c r="R57" s="13">
        <v>0.99804300000000001</v>
      </c>
      <c r="S57" s="13">
        <v>2.8189999999999999E-3</v>
      </c>
      <c r="T57" s="13">
        <f t="shared" si="6"/>
        <v>2.8134832169999999E-3</v>
      </c>
      <c r="U57" s="13">
        <v>1.7998130000000001</v>
      </c>
      <c r="V57" s="13">
        <v>5.7359999999999998E-3</v>
      </c>
      <c r="W57" s="13">
        <f t="shared" si="1"/>
        <v>1.0323727368E-2</v>
      </c>
      <c r="X57" s="13">
        <v>0.99888600000000005</v>
      </c>
      <c r="Y57" s="13">
        <v>3.4632000000000003E-2</v>
      </c>
      <c r="Z57" s="13">
        <f t="shared" si="2"/>
        <v>3.4593419952000007E-2</v>
      </c>
      <c r="AA57" s="15">
        <f t="shared" si="3"/>
        <v>8.9131965454000012E-2</v>
      </c>
      <c r="AB57" s="46">
        <f t="shared" si="7"/>
        <v>8.9131965454000012E-2</v>
      </c>
    </row>
    <row r="58" spans="1:28" x14ac:dyDescent="0.7">
      <c r="A58" s="8">
        <v>55</v>
      </c>
      <c r="B58" s="9">
        <v>19000</v>
      </c>
      <c r="C58" s="10">
        <v>-44.020450186761437</v>
      </c>
      <c r="D58" s="10">
        <f t="shared" si="4"/>
        <v>-17.002467443394668</v>
      </c>
      <c r="E58" s="10">
        <v>27.017982743366769</v>
      </c>
      <c r="F58" s="10">
        <f t="shared" si="8"/>
        <v>27.726183243366769</v>
      </c>
      <c r="G58" s="11" t="s">
        <v>13</v>
      </c>
      <c r="H58" s="11" t="s">
        <v>16</v>
      </c>
      <c r="I58" s="11"/>
      <c r="J58" s="10"/>
      <c r="K58" s="12"/>
      <c r="L58" s="13">
        <v>1.4999260000000001</v>
      </c>
      <c r="M58" s="13">
        <v>2.6138999999999999E-2</v>
      </c>
      <c r="N58" s="13">
        <f t="shared" si="5"/>
        <v>3.9206565714000004E-2</v>
      </c>
      <c r="O58" s="13">
        <v>1.8007169999999999</v>
      </c>
      <c r="P58" s="13">
        <v>1.2130000000000001E-3</v>
      </c>
      <c r="Q58" s="13">
        <f t="shared" si="0"/>
        <v>2.1842697210000001E-3</v>
      </c>
      <c r="R58" s="13">
        <v>0.99804300000000001</v>
      </c>
      <c r="S58" s="13">
        <v>2.8210000000000002E-3</v>
      </c>
      <c r="T58" s="13">
        <f t="shared" si="6"/>
        <v>2.8154793030000002E-3</v>
      </c>
      <c r="U58" s="13">
        <v>1.8000130000000001</v>
      </c>
      <c r="V58" s="13">
        <v>5.7409999999999996E-3</v>
      </c>
      <c r="W58" s="13">
        <f t="shared" si="1"/>
        <v>1.0333874632999999E-2</v>
      </c>
      <c r="X58" s="13">
        <v>0.99888600000000005</v>
      </c>
      <c r="Y58" s="13">
        <v>3.4566E-2</v>
      </c>
      <c r="Z58" s="13">
        <f t="shared" si="2"/>
        <v>3.4527493476000003E-2</v>
      </c>
      <c r="AA58" s="15">
        <f t="shared" si="3"/>
        <v>8.9067682847000007E-2</v>
      </c>
      <c r="AB58" s="46">
        <f t="shared" si="7"/>
        <v>8.9067682847000007E-2</v>
      </c>
    </row>
    <row r="59" spans="1:28" x14ac:dyDescent="0.7">
      <c r="A59" s="8">
        <v>56</v>
      </c>
      <c r="B59" s="9">
        <v>19000</v>
      </c>
      <c r="C59" s="10">
        <v>-44.020450186761437</v>
      </c>
      <c r="D59" s="10">
        <f t="shared" si="4"/>
        <v>-17.884079343394667</v>
      </c>
      <c r="E59" s="10">
        <v>26.13637084336677</v>
      </c>
      <c r="F59" s="10">
        <f t="shared" si="8"/>
        <v>27.476183243366769</v>
      </c>
      <c r="G59" s="11" t="s">
        <v>13</v>
      </c>
      <c r="H59" s="11" t="s">
        <v>16</v>
      </c>
      <c r="I59" s="11"/>
      <c r="J59" s="10"/>
      <c r="K59" s="12"/>
      <c r="L59" s="13">
        <v>1.4999260000000001</v>
      </c>
      <c r="M59" s="13">
        <v>2.6147E-2</v>
      </c>
      <c r="N59" s="13">
        <f t="shared" si="5"/>
        <v>3.9218565122000004E-2</v>
      </c>
      <c r="O59" s="13">
        <v>1.8007169999999999</v>
      </c>
      <c r="P59" s="13">
        <v>1.2130000000000001E-3</v>
      </c>
      <c r="Q59" s="13">
        <f t="shared" si="0"/>
        <v>2.1842697210000001E-3</v>
      </c>
      <c r="R59" s="13">
        <v>0.99804300000000001</v>
      </c>
      <c r="S59" s="13">
        <v>2.81E-3</v>
      </c>
      <c r="T59" s="13">
        <f t="shared" si="6"/>
        <v>2.8045008299999999E-3</v>
      </c>
      <c r="U59" s="13">
        <v>1.7998130000000001</v>
      </c>
      <c r="V59" s="13">
        <v>5.738E-3</v>
      </c>
      <c r="W59" s="13">
        <f t="shared" si="1"/>
        <v>1.0327326994E-2</v>
      </c>
      <c r="X59" s="13">
        <v>0.99888600000000005</v>
      </c>
      <c r="Y59" s="13">
        <v>3.4632000000000003E-2</v>
      </c>
      <c r="Z59" s="13">
        <f t="shared" si="2"/>
        <v>3.4593419952000007E-2</v>
      </c>
      <c r="AA59" s="15">
        <f t="shared" si="3"/>
        <v>8.9128082619000015E-2</v>
      </c>
      <c r="AB59" s="46">
        <f t="shared" si="7"/>
        <v>8.9128082619000015E-2</v>
      </c>
    </row>
    <row r="60" spans="1:28" x14ac:dyDescent="0.7">
      <c r="A60" s="8">
        <v>57</v>
      </c>
      <c r="B60" s="9">
        <v>19000</v>
      </c>
      <c r="C60" s="10">
        <v>-44.020450186761437</v>
      </c>
      <c r="D60" s="10">
        <f t="shared" si="4"/>
        <v>-17.971879843394667</v>
      </c>
      <c r="E60" s="10">
        <v>26.048570343366769</v>
      </c>
      <c r="F60" s="10">
        <f t="shared" si="8"/>
        <v>27.226183243366769</v>
      </c>
      <c r="G60" s="11" t="s">
        <v>13</v>
      </c>
      <c r="H60" s="11" t="s">
        <v>16</v>
      </c>
      <c r="I60" s="11"/>
      <c r="J60" s="10"/>
      <c r="K60" s="12"/>
      <c r="L60" s="13">
        <v>1.4999260000000001</v>
      </c>
      <c r="M60" s="13">
        <v>2.6133E-2</v>
      </c>
      <c r="N60" s="13">
        <f t="shared" si="5"/>
        <v>3.9197566158000005E-2</v>
      </c>
      <c r="O60" s="13">
        <v>1.8007169999999999</v>
      </c>
      <c r="P60" s="13">
        <v>1.2130000000000001E-3</v>
      </c>
      <c r="Q60" s="13">
        <f t="shared" si="0"/>
        <v>2.1842697210000001E-3</v>
      </c>
      <c r="R60" s="13">
        <v>0.99804300000000001</v>
      </c>
      <c r="S60" s="13">
        <v>2.8119999999999998E-3</v>
      </c>
      <c r="T60" s="13">
        <f t="shared" si="6"/>
        <v>2.8064969159999997E-3</v>
      </c>
      <c r="U60" s="13">
        <v>1.7998130000000001</v>
      </c>
      <c r="V60" s="13">
        <v>5.7409999999999996E-3</v>
      </c>
      <c r="W60" s="13">
        <f t="shared" si="1"/>
        <v>1.0332726432999999E-2</v>
      </c>
      <c r="X60" s="13">
        <v>0.99888600000000005</v>
      </c>
      <c r="Y60" s="13">
        <v>3.4632000000000003E-2</v>
      </c>
      <c r="Z60" s="13">
        <f t="shared" si="2"/>
        <v>3.4593419952000007E-2</v>
      </c>
      <c r="AA60" s="15">
        <f t="shared" si="3"/>
        <v>8.9114479180000011E-2</v>
      </c>
      <c r="AB60" s="46">
        <f t="shared" si="7"/>
        <v>8.9114479180000011E-2</v>
      </c>
    </row>
    <row r="61" spans="1:28" x14ac:dyDescent="0.7">
      <c r="A61" s="8">
        <v>58</v>
      </c>
      <c r="B61" s="9">
        <v>19000</v>
      </c>
      <c r="C61" s="10">
        <v>-44.020450186761437</v>
      </c>
      <c r="D61" s="10">
        <f t="shared" si="4"/>
        <v>-18.018907243394668</v>
      </c>
      <c r="E61" s="10">
        <v>26.001542943366768</v>
      </c>
      <c r="F61" s="10">
        <f t="shared" si="8"/>
        <v>26.976183243366769</v>
      </c>
      <c r="G61" s="11" t="s">
        <v>13</v>
      </c>
      <c r="H61" s="11" t="s">
        <v>16</v>
      </c>
      <c r="I61" s="11"/>
      <c r="J61" s="10"/>
      <c r="K61" s="12"/>
      <c r="L61" s="13">
        <v>1.4999260000000001</v>
      </c>
      <c r="M61" s="13">
        <v>2.6158000000000001E-2</v>
      </c>
      <c r="N61" s="13">
        <f t="shared" si="5"/>
        <v>3.9235064308000001E-2</v>
      </c>
      <c r="O61" s="13">
        <v>1.8007169999999999</v>
      </c>
      <c r="P61" s="13">
        <v>1.2130000000000001E-3</v>
      </c>
      <c r="Q61" s="13">
        <f t="shared" si="0"/>
        <v>2.1842697210000001E-3</v>
      </c>
      <c r="R61" s="13">
        <v>0.99804300000000001</v>
      </c>
      <c r="S61" s="13">
        <v>2.813E-3</v>
      </c>
      <c r="T61" s="13">
        <f t="shared" si="6"/>
        <v>2.8074949589999999E-3</v>
      </c>
      <c r="U61" s="13">
        <v>1.7998130000000001</v>
      </c>
      <c r="V61" s="13">
        <v>5.7409999999999996E-3</v>
      </c>
      <c r="W61" s="13">
        <f t="shared" si="1"/>
        <v>1.0332726432999999E-2</v>
      </c>
      <c r="X61" s="13">
        <v>0.99888600000000005</v>
      </c>
      <c r="Y61" s="13">
        <v>3.4632000000000003E-2</v>
      </c>
      <c r="Z61" s="13">
        <f t="shared" si="2"/>
        <v>3.4593419952000007E-2</v>
      </c>
      <c r="AA61" s="15">
        <f t="shared" si="3"/>
        <v>8.9152975373000001E-2</v>
      </c>
      <c r="AB61" s="46">
        <f t="shared" si="7"/>
        <v>8.9152975373000001E-2</v>
      </c>
    </row>
    <row r="62" spans="1:28" x14ac:dyDescent="0.7">
      <c r="A62" s="8">
        <v>59</v>
      </c>
      <c r="B62" s="9">
        <v>19000</v>
      </c>
      <c r="C62" s="10">
        <v>-44.020450186761437</v>
      </c>
      <c r="D62" s="10">
        <f t="shared" si="4"/>
        <v>-18.109013243394667</v>
      </c>
      <c r="E62" s="10">
        <v>25.91143694336677</v>
      </c>
      <c r="F62" s="10">
        <f t="shared" si="8"/>
        <v>26.726183243366769</v>
      </c>
      <c r="G62" s="11" t="s">
        <v>13</v>
      </c>
      <c r="H62" s="11" t="s">
        <v>16</v>
      </c>
      <c r="I62" s="11"/>
      <c r="J62" s="10"/>
      <c r="K62" s="12"/>
      <c r="L62" s="13">
        <v>1.4999260000000001</v>
      </c>
      <c r="M62" s="13">
        <v>2.6151000000000001E-2</v>
      </c>
      <c r="N62" s="13">
        <f t="shared" si="5"/>
        <v>3.9224564826000001E-2</v>
      </c>
      <c r="O62" s="13">
        <v>1.8007169999999999</v>
      </c>
      <c r="P62" s="13">
        <v>1.2130000000000001E-3</v>
      </c>
      <c r="Q62" s="13">
        <f t="shared" si="0"/>
        <v>2.1842697210000001E-3</v>
      </c>
      <c r="R62" s="13">
        <v>0.99804300000000001</v>
      </c>
      <c r="S62" s="13">
        <v>2.8149999999999998E-3</v>
      </c>
      <c r="T62" s="13">
        <f t="shared" si="6"/>
        <v>2.8094910449999997E-3</v>
      </c>
      <c r="U62" s="13">
        <v>1.7998130000000001</v>
      </c>
      <c r="V62" s="13">
        <v>5.7429999999999998E-3</v>
      </c>
      <c r="W62" s="13">
        <f t="shared" si="1"/>
        <v>1.0336326059000001E-2</v>
      </c>
      <c r="X62" s="13">
        <v>0.99888600000000005</v>
      </c>
      <c r="Y62" s="13">
        <v>3.4632000000000003E-2</v>
      </c>
      <c r="Z62" s="13">
        <f t="shared" si="2"/>
        <v>3.4593419952000007E-2</v>
      </c>
      <c r="AA62" s="15">
        <f t="shared" si="3"/>
        <v>8.9148071603000006E-2</v>
      </c>
      <c r="AB62" s="46">
        <f t="shared" si="7"/>
        <v>8.9148071603000006E-2</v>
      </c>
    </row>
    <row r="63" spans="1:28" x14ac:dyDescent="0.7">
      <c r="A63" s="8">
        <v>60</v>
      </c>
      <c r="B63" s="9">
        <v>19000</v>
      </c>
      <c r="C63" s="10">
        <v>-44.020450186761437</v>
      </c>
      <c r="D63" s="10">
        <f t="shared" si="4"/>
        <v>-19.180326343394668</v>
      </c>
      <c r="E63" s="10">
        <v>24.840123843366769</v>
      </c>
      <c r="F63" s="10">
        <f t="shared" si="8"/>
        <v>26.476183243366769</v>
      </c>
      <c r="G63" s="11" t="s">
        <v>13</v>
      </c>
      <c r="H63" s="11" t="s">
        <v>16</v>
      </c>
      <c r="I63" s="11"/>
      <c r="J63" s="10"/>
      <c r="K63" s="12"/>
      <c r="L63" s="13">
        <v>1.4999260000000001</v>
      </c>
      <c r="M63" s="13">
        <v>2.6151000000000001E-2</v>
      </c>
      <c r="N63" s="13">
        <f t="shared" si="5"/>
        <v>3.9224564826000001E-2</v>
      </c>
      <c r="O63" s="13">
        <v>1.8007169999999999</v>
      </c>
      <c r="P63" s="13">
        <v>1.2130000000000001E-3</v>
      </c>
      <c r="Q63" s="13">
        <f t="shared" si="0"/>
        <v>2.1842697210000001E-3</v>
      </c>
      <c r="R63" s="13">
        <v>0.99804300000000001</v>
      </c>
      <c r="S63" s="13">
        <v>2.8140000000000001E-3</v>
      </c>
      <c r="T63" s="13">
        <f t="shared" si="6"/>
        <v>2.808493002E-3</v>
      </c>
      <c r="U63" s="13">
        <v>1.8000130000000001</v>
      </c>
      <c r="V63" s="13">
        <v>5.7429999999999998E-3</v>
      </c>
      <c r="W63" s="13">
        <f t="shared" si="1"/>
        <v>1.0337474659E-2</v>
      </c>
      <c r="X63" s="13">
        <v>0.99888600000000005</v>
      </c>
      <c r="Y63" s="13">
        <v>3.4632000000000003E-2</v>
      </c>
      <c r="Z63" s="13">
        <f t="shared" si="2"/>
        <v>3.4593419952000007E-2</v>
      </c>
      <c r="AA63" s="15">
        <f t="shared" si="3"/>
        <v>8.9148222160000012E-2</v>
      </c>
      <c r="AB63" s="46">
        <f t="shared" si="7"/>
        <v>8.9148222160000012E-2</v>
      </c>
    </row>
    <row r="64" spans="1:28" x14ac:dyDescent="0.7">
      <c r="A64" s="8">
        <v>61</v>
      </c>
      <c r="B64" s="9">
        <v>19000</v>
      </c>
      <c r="C64" s="10">
        <v>-44.020450186761437</v>
      </c>
      <c r="D64" s="10">
        <f t="shared" si="4"/>
        <v>-19.292364243394665</v>
      </c>
      <c r="E64" s="10">
        <v>24.728085943366771</v>
      </c>
      <c r="F64" s="10">
        <f>F63-0.25</f>
        <v>26.226183243366769</v>
      </c>
      <c r="G64" s="11" t="s">
        <v>13</v>
      </c>
      <c r="H64" s="11" t="s">
        <v>16</v>
      </c>
      <c r="I64" s="11"/>
      <c r="J64" s="10"/>
      <c r="K64" s="12"/>
      <c r="L64" s="13">
        <v>1.4999260000000001</v>
      </c>
      <c r="M64" s="13">
        <v>2.6133E-2</v>
      </c>
      <c r="N64" s="13">
        <f t="shared" si="5"/>
        <v>3.9197566158000005E-2</v>
      </c>
      <c r="O64" s="13">
        <v>1.8007169999999999</v>
      </c>
      <c r="P64" s="13">
        <v>1.2130000000000001E-3</v>
      </c>
      <c r="Q64" s="13">
        <f t="shared" si="0"/>
        <v>2.1842697210000001E-3</v>
      </c>
      <c r="R64" s="13">
        <v>0.99804300000000001</v>
      </c>
      <c r="S64" s="13">
        <v>2.8149999999999998E-3</v>
      </c>
      <c r="T64" s="13">
        <f t="shared" si="6"/>
        <v>2.8094910449999997E-3</v>
      </c>
      <c r="U64" s="13">
        <v>1.7998130000000001</v>
      </c>
      <c r="V64" s="13">
        <v>5.7390000000000002E-3</v>
      </c>
      <c r="W64" s="13">
        <f t="shared" si="1"/>
        <v>1.0329126807000001E-2</v>
      </c>
      <c r="X64" s="13">
        <v>0.99888600000000005</v>
      </c>
      <c r="Y64" s="13">
        <v>3.4632000000000003E-2</v>
      </c>
      <c r="Z64" s="13">
        <f t="shared" si="2"/>
        <v>3.4593419952000007E-2</v>
      </c>
      <c r="AA64" s="15">
        <f t="shared" si="3"/>
        <v>8.9113873683000014E-2</v>
      </c>
      <c r="AB64" s="46">
        <f t="shared" si="7"/>
        <v>8.9113873683000014E-2</v>
      </c>
    </row>
    <row r="65" spans="1:34" x14ac:dyDescent="0.7">
      <c r="A65" s="8">
        <v>62</v>
      </c>
      <c r="B65" s="9">
        <v>19000</v>
      </c>
      <c r="C65" s="10">
        <v>-44.020450186761437</v>
      </c>
      <c r="D65" s="10">
        <f t="shared" si="4"/>
        <v>-19.308908343394666</v>
      </c>
      <c r="E65" s="10">
        <v>24.711541843366771</v>
      </c>
      <c r="F65" s="10">
        <f t="shared" si="8"/>
        <v>25.976183243366769</v>
      </c>
      <c r="G65" s="11" t="s">
        <v>13</v>
      </c>
      <c r="H65" s="11" t="s">
        <v>16</v>
      </c>
      <c r="I65" s="11"/>
      <c r="J65" s="10"/>
      <c r="K65" s="12"/>
      <c r="L65" s="13">
        <v>1.4999260000000001</v>
      </c>
      <c r="M65" s="13">
        <v>2.6166999999999999E-2</v>
      </c>
      <c r="N65" s="13">
        <f t="shared" si="5"/>
        <v>3.9248563642000002E-2</v>
      </c>
      <c r="O65" s="13">
        <v>1.8007169999999999</v>
      </c>
      <c r="P65" s="13">
        <v>1.2130000000000001E-3</v>
      </c>
      <c r="Q65" s="13">
        <f t="shared" si="0"/>
        <v>2.1842697210000001E-3</v>
      </c>
      <c r="R65" s="13">
        <v>0.99804300000000001</v>
      </c>
      <c r="S65" s="13">
        <v>2.8159999999999999E-3</v>
      </c>
      <c r="T65" s="13">
        <f t="shared" si="6"/>
        <v>2.8104890879999999E-3</v>
      </c>
      <c r="U65" s="13">
        <v>1.7998130000000001</v>
      </c>
      <c r="V65" s="13">
        <v>5.7409999999999996E-3</v>
      </c>
      <c r="W65" s="13">
        <f t="shared" si="1"/>
        <v>1.0332726432999999E-2</v>
      </c>
      <c r="X65" s="13">
        <v>0.99888600000000005</v>
      </c>
      <c r="Y65" s="13">
        <v>3.4632000000000003E-2</v>
      </c>
      <c r="Z65" s="13">
        <f t="shared" si="2"/>
        <v>3.4593419952000007E-2</v>
      </c>
      <c r="AA65" s="15">
        <f t="shared" si="3"/>
        <v>8.9169468836000007E-2</v>
      </c>
      <c r="AB65" s="46">
        <f t="shared" si="7"/>
        <v>8.9169468836000007E-2</v>
      </c>
    </row>
    <row r="66" spans="1:34" x14ac:dyDescent="0.7">
      <c r="A66" s="8">
        <v>63</v>
      </c>
      <c r="B66" s="9">
        <v>19000</v>
      </c>
      <c r="C66" s="10">
        <v>-44.020450186761437</v>
      </c>
      <c r="D66" s="10">
        <f t="shared" si="4"/>
        <v>-19.396514843394666</v>
      </c>
      <c r="E66" s="10">
        <v>24.623935343366771</v>
      </c>
      <c r="F66" s="10">
        <f t="shared" si="8"/>
        <v>25.726183243366769</v>
      </c>
      <c r="G66" s="11" t="s">
        <v>13</v>
      </c>
      <c r="H66" s="11" t="s">
        <v>16</v>
      </c>
      <c r="I66" s="11"/>
      <c r="J66" s="10"/>
      <c r="K66" s="12"/>
      <c r="L66" s="13">
        <v>1.4999260000000001</v>
      </c>
      <c r="M66" s="13">
        <v>2.6158000000000001E-2</v>
      </c>
      <c r="N66" s="13">
        <f t="shared" si="5"/>
        <v>3.9235064308000001E-2</v>
      </c>
      <c r="O66" s="13">
        <v>1.8007169999999999</v>
      </c>
      <c r="P66" s="13">
        <v>1.2130000000000001E-3</v>
      </c>
      <c r="Q66" s="13">
        <f t="shared" si="0"/>
        <v>2.1842697210000001E-3</v>
      </c>
      <c r="R66" s="13">
        <v>0.99804300000000001</v>
      </c>
      <c r="S66" s="13">
        <v>2.8170000000000001E-3</v>
      </c>
      <c r="T66" s="13">
        <f t="shared" si="6"/>
        <v>2.811487131E-3</v>
      </c>
      <c r="U66" s="13">
        <v>1.7998130000000001</v>
      </c>
      <c r="V66" s="13">
        <v>5.7409999999999996E-3</v>
      </c>
      <c r="W66" s="13">
        <f t="shared" si="1"/>
        <v>1.0332726432999999E-2</v>
      </c>
      <c r="X66" s="13">
        <v>0.99888600000000005</v>
      </c>
      <c r="Y66" s="13">
        <v>3.4632000000000003E-2</v>
      </c>
      <c r="Z66" s="13">
        <f t="shared" si="2"/>
        <v>3.4593419952000007E-2</v>
      </c>
      <c r="AA66" s="15">
        <f t="shared" si="3"/>
        <v>8.9156967544999993E-2</v>
      </c>
      <c r="AB66" s="46">
        <f t="shared" si="7"/>
        <v>8.9156967544999993E-2</v>
      </c>
    </row>
    <row r="67" spans="1:34" s="28" customFormat="1" x14ac:dyDescent="0.7">
      <c r="A67" s="21"/>
      <c r="B67" s="22"/>
      <c r="C67" s="23"/>
      <c r="D67" s="23"/>
      <c r="E67" s="23"/>
      <c r="F67" s="23"/>
      <c r="G67" s="24"/>
      <c r="H67" s="24"/>
      <c r="I67" s="24"/>
      <c r="J67" s="23"/>
      <c r="K67" s="25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7"/>
      <c r="AB67" s="46">
        <f t="shared" si="7"/>
        <v>0</v>
      </c>
    </row>
    <row r="68" spans="1:34" x14ac:dyDescent="0.7">
      <c r="A68" s="8">
        <v>0</v>
      </c>
      <c r="B68" s="9">
        <v>19000</v>
      </c>
      <c r="C68" s="15">
        <v>-44.020450186761437</v>
      </c>
      <c r="D68" s="10">
        <f t="shared" si="4"/>
        <v>-8.9652744433946694</v>
      </c>
      <c r="E68" s="15">
        <v>35.055175743366767</v>
      </c>
      <c r="F68" s="15">
        <f>E68</f>
        <v>35.055175743366767</v>
      </c>
      <c r="G68" s="11" t="s">
        <v>13</v>
      </c>
      <c r="H68" s="11" t="s">
        <v>16</v>
      </c>
      <c r="I68" s="12"/>
      <c r="J68" s="15"/>
      <c r="K68" s="12"/>
      <c r="L68" s="14">
        <v>1.4999260000000001</v>
      </c>
      <c r="M68" s="14">
        <v>2.6200000000000001E-2</v>
      </c>
      <c r="N68" s="13">
        <f t="shared" ref="N68:N100" si="9">L68*M68</f>
        <v>3.9298061200000005E-2</v>
      </c>
      <c r="O68" s="14">
        <v>1.8007169999999999</v>
      </c>
      <c r="P68" s="14">
        <v>1.3209999999999999E-3</v>
      </c>
      <c r="Q68" s="14">
        <v>2.2887113069999998E-3</v>
      </c>
      <c r="R68" s="14">
        <v>0.99804300000000001</v>
      </c>
      <c r="S68" s="14">
        <v>2.8E-3</v>
      </c>
      <c r="T68" s="13">
        <f t="shared" ref="T68:T100" si="10">R68*S68</f>
        <v>2.7945204000000001E-3</v>
      </c>
      <c r="U68" s="14">
        <v>1.7998130000000001</v>
      </c>
      <c r="V68" s="14">
        <v>5.6990000000000001E-3</v>
      </c>
      <c r="W68" s="13">
        <f t="shared" ref="W68:W100" si="11">U68*V68</f>
        <v>1.0257134287000001E-2</v>
      </c>
      <c r="X68" s="14">
        <v>0.99888600000000005</v>
      </c>
      <c r="Y68" s="14">
        <v>3.4763000000000002E-2</v>
      </c>
      <c r="Z68" s="13">
        <f t="shared" ref="Z68:Z100" si="12">X68*Y68</f>
        <v>3.4724274018000004E-2</v>
      </c>
      <c r="AA68" s="14">
        <f t="shared" ref="AA68:AA100" si="13">N68+Q68+T68+W68+Z68</f>
        <v>8.9362701212000017E-2</v>
      </c>
      <c r="AB68" s="46">
        <f t="shared" ref="AB68:AB100" si="14">AA68-(AE66/1000)</f>
        <v>8.9362701212000017E-2</v>
      </c>
      <c r="AH68" s="31">
        <f>E68-E100</f>
        <v>8.0043017999999968</v>
      </c>
    </row>
    <row r="69" spans="1:34" x14ac:dyDescent="0.7">
      <c r="A69" s="8">
        <v>1</v>
      </c>
      <c r="B69" s="9">
        <v>19000</v>
      </c>
      <c r="C69" s="15">
        <v>-44.020450186761437</v>
      </c>
      <c r="D69" s="10">
        <f t="shared" si="4"/>
        <v>-9.2039479433946667</v>
      </c>
      <c r="E69" s="15">
        <v>34.81650224336677</v>
      </c>
      <c r="F69" s="15">
        <f>F68-0.25</f>
        <v>34.805175743366767</v>
      </c>
      <c r="G69" s="11" t="s">
        <v>13</v>
      </c>
      <c r="H69" s="11" t="s">
        <v>16</v>
      </c>
      <c r="I69" s="12"/>
      <c r="J69" s="15"/>
      <c r="K69" s="12"/>
      <c r="L69" s="14">
        <v>1.4999260000000001</v>
      </c>
      <c r="M69" s="14">
        <v>2.622E-2</v>
      </c>
      <c r="N69" s="13">
        <f t="shared" si="9"/>
        <v>3.9328059720000003E-2</v>
      </c>
      <c r="O69" s="14">
        <v>1.8007169999999999</v>
      </c>
      <c r="P69" s="14">
        <v>1.322E-3</v>
      </c>
      <c r="Q69" s="14">
        <v>2.2869105899999999E-3</v>
      </c>
      <c r="R69" s="14">
        <v>0.99804300000000001</v>
      </c>
      <c r="S69" s="14">
        <v>2.8059999999999999E-3</v>
      </c>
      <c r="T69" s="13">
        <f t="shared" si="10"/>
        <v>2.8005086580000001E-3</v>
      </c>
      <c r="U69" s="14">
        <v>1.8000130000000001</v>
      </c>
      <c r="V69" s="14">
        <v>5.7080000000000004E-3</v>
      </c>
      <c r="W69" s="13">
        <f t="shared" si="11"/>
        <v>1.0274474204000001E-2</v>
      </c>
      <c r="X69" s="14">
        <v>0.99888600000000005</v>
      </c>
      <c r="Y69" s="14">
        <v>3.4763000000000002E-2</v>
      </c>
      <c r="Z69" s="13">
        <f t="shared" si="12"/>
        <v>3.4724274018000004E-2</v>
      </c>
      <c r="AA69" s="14">
        <f t="shared" si="13"/>
        <v>8.9414227190000001E-2</v>
      </c>
      <c r="AB69" s="46">
        <f t="shared" si="14"/>
        <v>8.9414227190000001E-2</v>
      </c>
    </row>
    <row r="70" spans="1:34" x14ac:dyDescent="0.7">
      <c r="A70" s="8">
        <v>2</v>
      </c>
      <c r="B70" s="9">
        <v>19000</v>
      </c>
      <c r="C70" s="15">
        <v>-44.020450186761437</v>
      </c>
      <c r="D70" s="10">
        <f t="shared" ref="D70:D100" si="15">C70+E70</f>
        <v>-9.4236093433946735</v>
      </c>
      <c r="E70" s="15">
        <v>34.596840843366763</v>
      </c>
      <c r="F70" s="15">
        <f t="shared" ref="F70:F100" si="16">F69-0.25</f>
        <v>34.555175743366767</v>
      </c>
      <c r="G70" s="11" t="s">
        <v>13</v>
      </c>
      <c r="H70" s="11" t="s">
        <v>16</v>
      </c>
      <c r="I70" s="12"/>
      <c r="J70" s="15"/>
      <c r="K70" s="12"/>
      <c r="L70" s="14">
        <v>1.4999260000000001</v>
      </c>
      <c r="M70" s="14">
        <v>2.6202E-2</v>
      </c>
      <c r="N70" s="13">
        <f t="shared" si="9"/>
        <v>3.9301061052E-2</v>
      </c>
      <c r="O70" s="14">
        <v>1.8007169999999999</v>
      </c>
      <c r="P70" s="14">
        <v>1.322E-3</v>
      </c>
      <c r="Q70" s="14">
        <v>2.2869105899999999E-3</v>
      </c>
      <c r="R70" s="14">
        <v>0.99804300000000001</v>
      </c>
      <c r="S70" s="14">
        <v>2.8080000000000002E-3</v>
      </c>
      <c r="T70" s="13">
        <f t="shared" si="10"/>
        <v>2.802504744E-3</v>
      </c>
      <c r="U70" s="14">
        <v>1.8000130000000001</v>
      </c>
      <c r="V70" s="14">
        <v>5.7029999999999997E-3</v>
      </c>
      <c r="W70" s="13">
        <f t="shared" si="11"/>
        <v>1.0265474139000001E-2</v>
      </c>
      <c r="X70" s="14">
        <v>0.99888600000000005</v>
      </c>
      <c r="Y70" s="14">
        <v>3.4696999999999999E-2</v>
      </c>
      <c r="Z70" s="13">
        <f t="shared" si="12"/>
        <v>3.4658347542E-2</v>
      </c>
      <c r="AA70" s="14">
        <f t="shared" si="13"/>
        <v>8.9314298067000003E-2</v>
      </c>
      <c r="AB70" s="46">
        <f t="shared" si="14"/>
        <v>8.9314298067000003E-2</v>
      </c>
    </row>
    <row r="71" spans="1:34" x14ac:dyDescent="0.7">
      <c r="A71" s="8">
        <v>3</v>
      </c>
      <c r="B71" s="9">
        <v>19000</v>
      </c>
      <c r="C71" s="15">
        <v>-44.020450186761437</v>
      </c>
      <c r="D71" s="10">
        <f t="shared" si="15"/>
        <v>-9.6777629433946686</v>
      </c>
      <c r="E71" s="15">
        <v>34.342687243366768</v>
      </c>
      <c r="F71" s="15">
        <f t="shared" si="16"/>
        <v>34.305175743366767</v>
      </c>
      <c r="G71" s="11" t="s">
        <v>13</v>
      </c>
      <c r="H71" s="11" t="s">
        <v>16</v>
      </c>
      <c r="I71" s="12"/>
      <c r="J71" s="15"/>
      <c r="K71" s="12"/>
      <c r="L71" s="14">
        <v>1.4999260000000001</v>
      </c>
      <c r="M71" s="14">
        <v>2.6199E-2</v>
      </c>
      <c r="N71" s="13">
        <f t="shared" si="9"/>
        <v>3.9296561274000004E-2</v>
      </c>
      <c r="O71" s="14">
        <v>1.8007169999999999</v>
      </c>
      <c r="P71" s="14">
        <v>1.322E-3</v>
      </c>
      <c r="Q71" s="14">
        <v>2.2869105899999999E-3</v>
      </c>
      <c r="R71" s="14">
        <v>0.99804300000000001</v>
      </c>
      <c r="S71" s="14">
        <v>2.81E-3</v>
      </c>
      <c r="T71" s="13">
        <f t="shared" si="10"/>
        <v>2.8045008299999999E-3</v>
      </c>
      <c r="U71" s="14">
        <v>1.7998130000000001</v>
      </c>
      <c r="V71" s="14">
        <v>5.7010000000000003E-3</v>
      </c>
      <c r="W71" s="13">
        <f t="shared" si="11"/>
        <v>1.0260733913000001E-2</v>
      </c>
      <c r="X71" s="14">
        <v>0.99888600000000005</v>
      </c>
      <c r="Y71" s="14">
        <v>3.4696999999999999E-2</v>
      </c>
      <c r="Z71" s="13">
        <f t="shared" si="12"/>
        <v>3.4658347542E-2</v>
      </c>
      <c r="AA71" s="14">
        <f t="shared" si="13"/>
        <v>8.9307054149000004E-2</v>
      </c>
      <c r="AB71" s="46">
        <f t="shared" si="14"/>
        <v>8.9307054149000004E-2</v>
      </c>
    </row>
    <row r="72" spans="1:34" x14ac:dyDescent="0.7">
      <c r="A72" s="8">
        <v>4</v>
      </c>
      <c r="B72" s="9">
        <v>19000</v>
      </c>
      <c r="C72" s="15">
        <v>-44.020450186761437</v>
      </c>
      <c r="D72" s="10">
        <f t="shared" si="15"/>
        <v>-9.8620456433946657</v>
      </c>
      <c r="E72" s="15">
        <v>34.158404543366771</v>
      </c>
      <c r="F72" s="15">
        <f t="shared" si="16"/>
        <v>34.055175743366767</v>
      </c>
      <c r="G72" s="11" t="s">
        <v>13</v>
      </c>
      <c r="H72" s="11" t="s">
        <v>16</v>
      </c>
      <c r="I72" s="12"/>
      <c r="J72" s="15"/>
      <c r="K72" s="12"/>
      <c r="L72" s="14">
        <v>1.4999260000000001</v>
      </c>
      <c r="M72" s="14">
        <v>2.6169000000000001E-2</v>
      </c>
      <c r="N72" s="13">
        <f t="shared" si="9"/>
        <v>3.9251563494000004E-2</v>
      </c>
      <c r="O72" s="14">
        <v>1.8007169999999999</v>
      </c>
      <c r="P72" s="14">
        <v>1.3209999999999999E-3</v>
      </c>
      <c r="Q72" s="14">
        <v>2.2869105899999999E-3</v>
      </c>
      <c r="R72" s="14">
        <v>0.99804300000000001</v>
      </c>
      <c r="S72" s="14">
        <v>2.8080000000000002E-3</v>
      </c>
      <c r="T72" s="13">
        <f t="shared" si="10"/>
        <v>2.802504744E-3</v>
      </c>
      <c r="U72" s="14">
        <v>1.7998130000000001</v>
      </c>
      <c r="V72" s="14">
        <v>5.7080000000000004E-3</v>
      </c>
      <c r="W72" s="13">
        <f t="shared" si="11"/>
        <v>1.0273332604000001E-2</v>
      </c>
      <c r="X72" s="14">
        <v>0.99888600000000005</v>
      </c>
      <c r="Y72" s="14">
        <v>3.4696999999999999E-2</v>
      </c>
      <c r="Z72" s="13">
        <f t="shared" si="12"/>
        <v>3.4658347542E-2</v>
      </c>
      <c r="AA72" s="14">
        <f t="shared" si="13"/>
        <v>8.9272658973999997E-2</v>
      </c>
      <c r="AB72" s="46">
        <f t="shared" si="14"/>
        <v>8.9272658973999997E-2</v>
      </c>
    </row>
    <row r="73" spans="1:34" x14ac:dyDescent="0.7">
      <c r="A73" s="8">
        <v>5</v>
      </c>
      <c r="B73" s="9">
        <v>19000</v>
      </c>
      <c r="C73" s="15">
        <v>-44.020450186761437</v>
      </c>
      <c r="D73" s="10">
        <f t="shared" si="15"/>
        <v>-10.09842994339467</v>
      </c>
      <c r="E73" s="15">
        <v>33.922020243366767</v>
      </c>
      <c r="F73" s="15">
        <f t="shared" si="16"/>
        <v>33.805175743366767</v>
      </c>
      <c r="G73" s="11" t="s">
        <v>13</v>
      </c>
      <c r="H73" s="11" t="s">
        <v>16</v>
      </c>
      <c r="I73" s="12"/>
      <c r="J73" s="15"/>
      <c r="K73" s="12"/>
      <c r="L73" s="14">
        <v>1.4999260000000001</v>
      </c>
      <c r="M73" s="14">
        <v>2.6187999999999999E-2</v>
      </c>
      <c r="N73" s="13">
        <f t="shared" si="9"/>
        <v>3.9280062088000001E-2</v>
      </c>
      <c r="O73" s="14">
        <v>1.8007169999999999</v>
      </c>
      <c r="P73" s="14">
        <v>1.3209999999999999E-3</v>
      </c>
      <c r="Q73" s="14">
        <v>2.2887113069999998E-3</v>
      </c>
      <c r="R73" s="14">
        <v>0.99804300000000001</v>
      </c>
      <c r="S73" s="14">
        <v>2.8089999999999999E-3</v>
      </c>
      <c r="T73" s="13">
        <f t="shared" si="10"/>
        <v>2.8035027869999997E-3</v>
      </c>
      <c r="U73" s="14">
        <v>1.8000130000000001</v>
      </c>
      <c r="V73" s="14">
        <v>5.7080000000000004E-3</v>
      </c>
      <c r="W73" s="13">
        <f t="shared" si="11"/>
        <v>1.0274474204000001E-2</v>
      </c>
      <c r="X73" s="14">
        <v>0.99888600000000005</v>
      </c>
      <c r="Y73" s="14">
        <v>3.4696999999999999E-2</v>
      </c>
      <c r="Z73" s="13">
        <f t="shared" si="12"/>
        <v>3.4658347542E-2</v>
      </c>
      <c r="AA73" s="14">
        <f t="shared" si="13"/>
        <v>8.930509792800001E-2</v>
      </c>
      <c r="AB73" s="46">
        <f t="shared" si="14"/>
        <v>8.930509792800001E-2</v>
      </c>
    </row>
    <row r="74" spans="1:34" x14ac:dyDescent="0.7">
      <c r="A74" s="8">
        <v>6</v>
      </c>
      <c r="B74" s="9">
        <v>19000</v>
      </c>
      <c r="C74" s="15">
        <v>-44.020450186761437</v>
      </c>
      <c r="D74" s="10">
        <f t="shared" si="15"/>
        <v>-10.326718343394674</v>
      </c>
      <c r="E74" s="15">
        <v>33.693731843366763</v>
      </c>
      <c r="F74" s="15">
        <f t="shared" si="16"/>
        <v>33.555175743366767</v>
      </c>
      <c r="G74" s="11" t="s">
        <v>13</v>
      </c>
      <c r="H74" s="11" t="s">
        <v>16</v>
      </c>
      <c r="I74" s="12"/>
      <c r="J74" s="15"/>
      <c r="K74" s="12"/>
      <c r="L74" s="14">
        <v>1.4999260000000001</v>
      </c>
      <c r="M74" s="14">
        <v>2.6173999999999999E-2</v>
      </c>
      <c r="N74" s="13">
        <f t="shared" si="9"/>
        <v>3.9259063124000002E-2</v>
      </c>
      <c r="O74" s="14">
        <v>1.8007169999999999</v>
      </c>
      <c r="P74" s="14">
        <v>1.3209999999999999E-3</v>
      </c>
      <c r="Q74" s="14">
        <v>2.2869105899999999E-3</v>
      </c>
      <c r="R74" s="14">
        <v>0.99804300000000001</v>
      </c>
      <c r="S74" s="14">
        <v>2.81E-3</v>
      </c>
      <c r="T74" s="13">
        <f t="shared" si="10"/>
        <v>2.8045008299999999E-3</v>
      </c>
      <c r="U74" s="14">
        <v>1.8000130000000001</v>
      </c>
      <c r="V74" s="14">
        <v>5.7029999999999997E-3</v>
      </c>
      <c r="W74" s="13">
        <f t="shared" si="11"/>
        <v>1.0265474139000001E-2</v>
      </c>
      <c r="X74" s="14">
        <v>0.99888600000000005</v>
      </c>
      <c r="Y74" s="14">
        <v>3.4696999999999999E-2</v>
      </c>
      <c r="Z74" s="13">
        <f t="shared" si="12"/>
        <v>3.4658347542E-2</v>
      </c>
      <c r="AA74" s="14">
        <f t="shared" si="13"/>
        <v>8.9274296224999994E-2</v>
      </c>
      <c r="AB74" s="46">
        <f t="shared" si="14"/>
        <v>8.9274296224999994E-2</v>
      </c>
    </row>
    <row r="75" spans="1:34" x14ac:dyDescent="0.7">
      <c r="A75" s="8">
        <v>7</v>
      </c>
      <c r="B75" s="9">
        <v>19000</v>
      </c>
      <c r="C75" s="15">
        <v>-44.020450186761437</v>
      </c>
      <c r="D75" s="10">
        <f t="shared" si="15"/>
        <v>-10.56094304339468</v>
      </c>
      <c r="E75" s="15">
        <v>33.459507143366757</v>
      </c>
      <c r="F75" s="15">
        <f t="shared" si="16"/>
        <v>33.305175743366767</v>
      </c>
      <c r="G75" s="11" t="s">
        <v>13</v>
      </c>
      <c r="H75" s="11" t="s">
        <v>16</v>
      </c>
      <c r="I75" s="12"/>
      <c r="J75" s="15"/>
      <c r="K75" s="12"/>
      <c r="L75" s="14">
        <v>1.4999260000000001</v>
      </c>
      <c r="M75" s="14">
        <v>2.6152999999999999E-2</v>
      </c>
      <c r="N75" s="13">
        <f t="shared" si="9"/>
        <v>3.9227564678000003E-2</v>
      </c>
      <c r="O75" s="14">
        <v>1.8007169999999999</v>
      </c>
      <c r="P75" s="14">
        <v>1.323E-3</v>
      </c>
      <c r="Q75" s="14">
        <v>2.2869105899999999E-3</v>
      </c>
      <c r="R75" s="14">
        <v>0.99804300000000001</v>
      </c>
      <c r="S75" s="14">
        <v>2.8110000000000001E-3</v>
      </c>
      <c r="T75" s="13">
        <f t="shared" si="10"/>
        <v>2.805498873E-3</v>
      </c>
      <c r="U75" s="14">
        <v>1.7998130000000001</v>
      </c>
      <c r="V75" s="14">
        <v>5.6990000000000001E-3</v>
      </c>
      <c r="W75" s="13">
        <f t="shared" si="11"/>
        <v>1.0257134287000001E-2</v>
      </c>
      <c r="X75" s="14">
        <v>0.99888600000000005</v>
      </c>
      <c r="Y75" s="14">
        <v>3.4696999999999999E-2</v>
      </c>
      <c r="Z75" s="13">
        <f t="shared" si="12"/>
        <v>3.4658347542E-2</v>
      </c>
      <c r="AA75" s="14">
        <f t="shared" si="13"/>
        <v>8.9235455970000016E-2</v>
      </c>
      <c r="AB75" s="46">
        <f t="shared" si="14"/>
        <v>8.9235455970000016E-2</v>
      </c>
    </row>
    <row r="76" spans="1:34" x14ac:dyDescent="0.7">
      <c r="A76" s="8">
        <v>8</v>
      </c>
      <c r="B76" s="9">
        <v>19000</v>
      </c>
      <c r="C76" s="15">
        <v>-44.020450186761437</v>
      </c>
      <c r="D76" s="10">
        <f t="shared" si="15"/>
        <v>-10.914702343394666</v>
      </c>
      <c r="E76" s="15">
        <v>33.105747843366771</v>
      </c>
      <c r="F76" s="15">
        <f t="shared" si="16"/>
        <v>33.055175743366767</v>
      </c>
      <c r="G76" s="11" t="s">
        <v>13</v>
      </c>
      <c r="H76" s="11" t="s">
        <v>16</v>
      </c>
      <c r="I76" s="12"/>
      <c r="J76" s="15"/>
      <c r="K76" s="12"/>
      <c r="L76" s="14">
        <v>1.4999260000000001</v>
      </c>
      <c r="M76" s="14">
        <v>2.6162000000000001E-2</v>
      </c>
      <c r="N76" s="13">
        <f t="shared" si="9"/>
        <v>3.9241064012000004E-2</v>
      </c>
      <c r="O76" s="14">
        <v>1.8007169999999999</v>
      </c>
      <c r="P76" s="14">
        <v>1.322E-3</v>
      </c>
      <c r="Q76" s="14">
        <v>2.2869105899999999E-3</v>
      </c>
      <c r="R76" s="14">
        <v>0.99804300000000001</v>
      </c>
      <c r="S76" s="14">
        <v>2.8010000000000001E-3</v>
      </c>
      <c r="T76" s="13">
        <f t="shared" si="10"/>
        <v>2.7955184430000003E-3</v>
      </c>
      <c r="U76" s="14">
        <v>1.7998130000000001</v>
      </c>
      <c r="V76" s="14">
        <v>5.7010000000000003E-3</v>
      </c>
      <c r="W76" s="13">
        <f t="shared" si="11"/>
        <v>1.0260733913000001E-2</v>
      </c>
      <c r="X76" s="14">
        <v>0.99888600000000005</v>
      </c>
      <c r="Y76" s="14">
        <v>3.4632000000000003E-2</v>
      </c>
      <c r="Z76" s="13">
        <f t="shared" si="12"/>
        <v>3.4593419952000007E-2</v>
      </c>
      <c r="AA76" s="14">
        <f t="shared" si="13"/>
        <v>8.9177646910000019E-2</v>
      </c>
      <c r="AB76" s="46">
        <f t="shared" si="14"/>
        <v>8.9177646910000019E-2</v>
      </c>
    </row>
    <row r="77" spans="1:34" x14ac:dyDescent="0.7">
      <c r="A77" s="8">
        <v>9</v>
      </c>
      <c r="B77" s="9">
        <v>19000</v>
      </c>
      <c r="C77" s="15">
        <v>-44.020450186761437</v>
      </c>
      <c r="D77" s="10">
        <f t="shared" si="15"/>
        <v>-11.201085143394664</v>
      </c>
      <c r="E77" s="15">
        <v>32.819365043366773</v>
      </c>
      <c r="F77" s="15">
        <f t="shared" si="16"/>
        <v>32.805175743366767</v>
      </c>
      <c r="G77" s="11" t="s">
        <v>13</v>
      </c>
      <c r="H77" s="11" t="s">
        <v>16</v>
      </c>
      <c r="I77" s="12"/>
      <c r="J77" s="15"/>
      <c r="K77" s="12"/>
      <c r="L77" s="14">
        <v>1.4999260000000001</v>
      </c>
      <c r="M77" s="14">
        <v>2.614E-2</v>
      </c>
      <c r="N77" s="13">
        <f t="shared" si="9"/>
        <v>3.9208065640000005E-2</v>
      </c>
      <c r="O77" s="14">
        <v>1.8007169999999999</v>
      </c>
      <c r="P77" s="14">
        <v>1.3240000000000001E-3</v>
      </c>
      <c r="Q77" s="14">
        <v>2.2869105899999999E-3</v>
      </c>
      <c r="R77" s="14">
        <v>0.99804300000000001</v>
      </c>
      <c r="S77" s="14">
        <v>2.8019999999999998E-3</v>
      </c>
      <c r="T77" s="13">
        <f t="shared" si="10"/>
        <v>2.796516486E-3</v>
      </c>
      <c r="U77" s="14">
        <v>1.8000130000000001</v>
      </c>
      <c r="V77" s="14">
        <v>5.7080000000000004E-3</v>
      </c>
      <c r="W77" s="13">
        <f t="shared" si="11"/>
        <v>1.0274474204000001E-2</v>
      </c>
      <c r="X77" s="14">
        <v>0.99888600000000005</v>
      </c>
      <c r="Y77" s="14">
        <v>3.4632000000000003E-2</v>
      </c>
      <c r="Z77" s="13">
        <f t="shared" si="12"/>
        <v>3.4593419952000007E-2</v>
      </c>
      <c r="AA77" s="14">
        <f t="shared" si="13"/>
        <v>8.9159386872000021E-2</v>
      </c>
      <c r="AB77" s="46">
        <f t="shared" si="14"/>
        <v>8.9159386872000021E-2</v>
      </c>
    </row>
    <row r="78" spans="1:34" x14ac:dyDescent="0.7">
      <c r="A78" s="8">
        <v>10</v>
      </c>
      <c r="B78" s="9">
        <v>19000</v>
      </c>
      <c r="C78" s="15">
        <v>-44.020450186761437</v>
      </c>
      <c r="D78" s="10">
        <f t="shared" si="15"/>
        <v>-11.435415943394673</v>
      </c>
      <c r="E78" s="15">
        <v>32.585034243366763</v>
      </c>
      <c r="F78" s="15">
        <f t="shared" si="16"/>
        <v>32.555175743366767</v>
      </c>
      <c r="G78" s="11" t="s">
        <v>13</v>
      </c>
      <c r="H78" s="11" t="s">
        <v>16</v>
      </c>
      <c r="I78" s="12"/>
      <c r="J78" s="15"/>
      <c r="K78" s="12"/>
      <c r="L78" s="14">
        <v>1.4999260000000001</v>
      </c>
      <c r="M78" s="14">
        <v>2.6159999999999999E-2</v>
      </c>
      <c r="N78" s="13">
        <f t="shared" si="9"/>
        <v>3.9238064160000002E-2</v>
      </c>
      <c r="O78" s="14">
        <v>1.8007169999999999</v>
      </c>
      <c r="P78" s="14">
        <v>1.323E-3</v>
      </c>
      <c r="Q78" s="14">
        <v>2.2869105899999999E-3</v>
      </c>
      <c r="R78" s="14">
        <v>0.99804300000000001</v>
      </c>
      <c r="S78" s="14">
        <v>2.8040000000000001E-3</v>
      </c>
      <c r="T78" s="13">
        <f t="shared" si="10"/>
        <v>2.7985125720000003E-3</v>
      </c>
      <c r="U78" s="14">
        <v>1.8000130000000001</v>
      </c>
      <c r="V78" s="14">
        <v>5.7010000000000003E-3</v>
      </c>
      <c r="W78" s="13">
        <f t="shared" si="11"/>
        <v>1.0261874113000001E-2</v>
      </c>
      <c r="X78" s="14">
        <v>0.99888600000000005</v>
      </c>
      <c r="Y78" s="14">
        <v>3.4763000000000002E-2</v>
      </c>
      <c r="Z78" s="13">
        <f t="shared" si="12"/>
        <v>3.4724274018000004E-2</v>
      </c>
      <c r="AA78" s="14">
        <f t="shared" si="13"/>
        <v>8.9309635452999997E-2</v>
      </c>
      <c r="AB78" s="46">
        <f t="shared" si="14"/>
        <v>8.9309635452999997E-2</v>
      </c>
    </row>
    <row r="79" spans="1:34" x14ac:dyDescent="0.7">
      <c r="A79" s="8">
        <v>11</v>
      </c>
      <c r="B79" s="9">
        <v>19000</v>
      </c>
      <c r="C79" s="15">
        <v>-44.020450186761437</v>
      </c>
      <c r="D79" s="10">
        <f t="shared" si="15"/>
        <v>-11.688890343394675</v>
      </c>
      <c r="E79" s="15">
        <v>32.331559843366762</v>
      </c>
      <c r="F79" s="15">
        <f t="shared" si="16"/>
        <v>32.305175743366767</v>
      </c>
      <c r="G79" s="11" t="s">
        <v>13</v>
      </c>
      <c r="H79" s="11" t="s">
        <v>16</v>
      </c>
      <c r="I79" s="12"/>
      <c r="J79" s="15"/>
      <c r="K79" s="12"/>
      <c r="L79" s="14">
        <v>1.4999260000000001</v>
      </c>
      <c r="M79" s="14">
        <v>2.6155000000000001E-2</v>
      </c>
      <c r="N79" s="13">
        <f t="shared" si="9"/>
        <v>3.9230564530000005E-2</v>
      </c>
      <c r="O79" s="14">
        <v>1.8007169999999999</v>
      </c>
      <c r="P79" s="14">
        <v>1.3209999999999999E-3</v>
      </c>
      <c r="Q79" s="14">
        <v>2.2869105899999999E-3</v>
      </c>
      <c r="R79" s="14">
        <v>0.99804300000000001</v>
      </c>
      <c r="S79" s="14">
        <v>2.8050000000000002E-3</v>
      </c>
      <c r="T79" s="13">
        <f t="shared" si="10"/>
        <v>2.7995106150000004E-3</v>
      </c>
      <c r="U79" s="14">
        <v>1.7998130000000001</v>
      </c>
      <c r="V79" s="14">
        <v>5.7039999999999999E-3</v>
      </c>
      <c r="W79" s="13">
        <f t="shared" si="11"/>
        <v>1.0266133352000001E-2</v>
      </c>
      <c r="X79" s="14">
        <v>0.99888600000000005</v>
      </c>
      <c r="Y79" s="14">
        <v>3.4696999999999999E-2</v>
      </c>
      <c r="Z79" s="13">
        <f t="shared" si="12"/>
        <v>3.4658347542E-2</v>
      </c>
      <c r="AA79" s="14">
        <f t="shared" si="13"/>
        <v>8.924146662900001E-2</v>
      </c>
      <c r="AB79" s="46">
        <f t="shared" si="14"/>
        <v>8.924146662900001E-2</v>
      </c>
    </row>
    <row r="80" spans="1:34" x14ac:dyDescent="0.7">
      <c r="A80" s="8">
        <v>12</v>
      </c>
      <c r="B80" s="9">
        <v>19000</v>
      </c>
      <c r="C80" s="15">
        <v>-44.020450186761437</v>
      </c>
      <c r="D80" s="10">
        <f t="shared" si="15"/>
        <v>-11.81490554339468</v>
      </c>
      <c r="E80" s="15">
        <v>32.205544643366757</v>
      </c>
      <c r="F80" s="15">
        <f t="shared" si="16"/>
        <v>32.055175743366767</v>
      </c>
      <c r="G80" s="11" t="s">
        <v>13</v>
      </c>
      <c r="H80" s="11" t="s">
        <v>16</v>
      </c>
      <c r="I80" s="12"/>
      <c r="J80" s="15"/>
      <c r="K80" s="12"/>
      <c r="L80" s="14">
        <v>1.4999260000000001</v>
      </c>
      <c r="M80" s="14">
        <v>2.6158000000000001E-2</v>
      </c>
      <c r="N80" s="13">
        <f t="shared" si="9"/>
        <v>3.9235064308000001E-2</v>
      </c>
      <c r="O80" s="14">
        <v>1.8007169999999999</v>
      </c>
      <c r="P80" s="14">
        <v>1.323E-3</v>
      </c>
      <c r="Q80" s="14">
        <v>2.285109873E-3</v>
      </c>
      <c r="R80" s="14">
        <v>0.99804300000000001</v>
      </c>
      <c r="S80" s="14">
        <v>2.8040000000000001E-3</v>
      </c>
      <c r="T80" s="13">
        <f t="shared" si="10"/>
        <v>2.7985125720000003E-3</v>
      </c>
      <c r="U80" s="14">
        <v>1.7998130000000001</v>
      </c>
      <c r="V80" s="14">
        <v>5.7039999999999999E-3</v>
      </c>
      <c r="W80" s="13">
        <f t="shared" si="11"/>
        <v>1.0266133352000001E-2</v>
      </c>
      <c r="X80" s="14">
        <v>0.99888600000000005</v>
      </c>
      <c r="Y80" s="14">
        <v>3.4696999999999999E-2</v>
      </c>
      <c r="Z80" s="13">
        <f t="shared" si="12"/>
        <v>3.4658347542E-2</v>
      </c>
      <c r="AA80" s="14">
        <f t="shared" si="13"/>
        <v>8.9243167646999993E-2</v>
      </c>
      <c r="AB80" s="46">
        <f t="shared" si="14"/>
        <v>8.9243167646999993E-2</v>
      </c>
    </row>
    <row r="81" spans="1:28" x14ac:dyDescent="0.7">
      <c r="A81" s="8">
        <v>13</v>
      </c>
      <c r="B81" s="9">
        <v>19000</v>
      </c>
      <c r="C81" s="15">
        <v>-44.020450186761437</v>
      </c>
      <c r="D81" s="10">
        <f t="shared" si="15"/>
        <v>-12.085181643394666</v>
      </c>
      <c r="E81" s="15">
        <v>31.935268543366771</v>
      </c>
      <c r="F81" s="15">
        <f t="shared" si="16"/>
        <v>31.805175743366767</v>
      </c>
      <c r="G81" s="11" t="s">
        <v>13</v>
      </c>
      <c r="H81" s="11" t="s">
        <v>16</v>
      </c>
      <c r="I81" s="12"/>
      <c r="J81" s="15"/>
      <c r="K81" s="12"/>
      <c r="L81" s="14">
        <v>1.4999260000000001</v>
      </c>
      <c r="M81" s="14">
        <v>2.6133E-2</v>
      </c>
      <c r="N81" s="13">
        <f t="shared" si="9"/>
        <v>3.9197566158000005E-2</v>
      </c>
      <c r="O81" s="14">
        <v>1.8007169999999999</v>
      </c>
      <c r="P81" s="14">
        <v>1.3209999999999999E-3</v>
      </c>
      <c r="Q81" s="14">
        <v>2.2869105899999999E-3</v>
      </c>
      <c r="R81" s="14">
        <v>0.99804300000000001</v>
      </c>
      <c r="S81" s="14">
        <v>2.8050000000000002E-3</v>
      </c>
      <c r="T81" s="13">
        <f t="shared" si="10"/>
        <v>2.7995106150000004E-3</v>
      </c>
      <c r="U81" s="14">
        <v>1.7998130000000001</v>
      </c>
      <c r="V81" s="14">
        <v>5.6990000000000001E-3</v>
      </c>
      <c r="W81" s="13">
        <f t="shared" si="11"/>
        <v>1.0257134287000001E-2</v>
      </c>
      <c r="X81" s="14">
        <v>0.99888600000000005</v>
      </c>
      <c r="Y81" s="14">
        <v>3.4763000000000002E-2</v>
      </c>
      <c r="Z81" s="13">
        <f t="shared" si="12"/>
        <v>3.4724274018000004E-2</v>
      </c>
      <c r="AA81" s="14">
        <f t="shared" si="13"/>
        <v>8.9265395668000014E-2</v>
      </c>
      <c r="AB81" s="46">
        <f t="shared" si="14"/>
        <v>8.9265395668000014E-2</v>
      </c>
    </row>
    <row r="82" spans="1:28" x14ac:dyDescent="0.7">
      <c r="A82" s="8">
        <v>14</v>
      </c>
      <c r="B82" s="9">
        <v>19000</v>
      </c>
      <c r="C82" s="15">
        <v>-44.020450186761437</v>
      </c>
      <c r="D82" s="10">
        <f t="shared" si="15"/>
        <v>-12.323582343394666</v>
      </c>
      <c r="E82" s="15">
        <v>31.696867843366771</v>
      </c>
      <c r="F82" s="15">
        <f t="shared" si="16"/>
        <v>31.555175743366767</v>
      </c>
      <c r="G82" s="11" t="s">
        <v>13</v>
      </c>
      <c r="H82" s="11" t="s">
        <v>16</v>
      </c>
      <c r="I82" s="12"/>
      <c r="J82" s="15"/>
      <c r="K82" s="12"/>
      <c r="L82" s="14">
        <v>1.4999260000000001</v>
      </c>
      <c r="M82" s="14">
        <v>2.6138999999999999E-2</v>
      </c>
      <c r="N82" s="13">
        <f t="shared" si="9"/>
        <v>3.9206565714000004E-2</v>
      </c>
      <c r="O82" s="14">
        <v>1.8007169999999999</v>
      </c>
      <c r="P82" s="14">
        <v>1.322E-3</v>
      </c>
      <c r="Q82" s="14">
        <v>2.285109873E-3</v>
      </c>
      <c r="R82" s="14">
        <v>0.99804300000000001</v>
      </c>
      <c r="S82" s="14">
        <v>2.8059999999999999E-3</v>
      </c>
      <c r="T82" s="13">
        <f t="shared" si="10"/>
        <v>2.8005086580000001E-3</v>
      </c>
      <c r="U82" s="14">
        <v>1.7998130000000001</v>
      </c>
      <c r="V82" s="14">
        <v>5.6990000000000001E-3</v>
      </c>
      <c r="W82" s="13">
        <f t="shared" si="11"/>
        <v>1.0257134287000001E-2</v>
      </c>
      <c r="X82" s="14">
        <v>0.99888600000000005</v>
      </c>
      <c r="Y82" s="14">
        <v>3.4763000000000002E-2</v>
      </c>
      <c r="Z82" s="13">
        <f t="shared" si="12"/>
        <v>3.4724274018000004E-2</v>
      </c>
      <c r="AA82" s="14">
        <f t="shared" si="13"/>
        <v>8.9273592550000003E-2</v>
      </c>
      <c r="AB82" s="46">
        <f t="shared" si="14"/>
        <v>8.9273592550000003E-2</v>
      </c>
    </row>
    <row r="83" spans="1:28" x14ac:dyDescent="0.7">
      <c r="A83" s="8">
        <v>15</v>
      </c>
      <c r="B83" s="9">
        <v>19000</v>
      </c>
      <c r="C83" s="15">
        <v>-44.020450186761437</v>
      </c>
      <c r="D83" s="10">
        <f t="shared" si="15"/>
        <v>-12.588062543394667</v>
      </c>
      <c r="E83" s="15">
        <v>31.43238764336677</v>
      </c>
      <c r="F83" s="15">
        <f t="shared" si="16"/>
        <v>31.305175743366767</v>
      </c>
      <c r="G83" s="11" t="s">
        <v>13</v>
      </c>
      <c r="H83" s="11" t="s">
        <v>16</v>
      </c>
      <c r="I83" s="12"/>
      <c r="J83" s="15"/>
      <c r="K83" s="12"/>
      <c r="L83" s="14">
        <v>1.4999260000000001</v>
      </c>
      <c r="M83" s="14">
        <v>2.6133E-2</v>
      </c>
      <c r="N83" s="13">
        <f t="shared" si="9"/>
        <v>3.9197566158000005E-2</v>
      </c>
      <c r="O83" s="14">
        <v>1.8007169999999999</v>
      </c>
      <c r="P83" s="14">
        <v>1.322E-3</v>
      </c>
      <c r="Q83" s="14">
        <v>2.2833091560000001E-3</v>
      </c>
      <c r="R83" s="14">
        <v>0.99804300000000001</v>
      </c>
      <c r="S83" s="14">
        <v>2.807E-3</v>
      </c>
      <c r="T83" s="13">
        <f t="shared" si="10"/>
        <v>2.8015067010000003E-3</v>
      </c>
      <c r="U83" s="14">
        <v>1.8000130000000001</v>
      </c>
      <c r="V83" s="14">
        <v>5.7029999999999997E-3</v>
      </c>
      <c r="W83" s="13">
        <f t="shared" si="11"/>
        <v>1.0265474139000001E-2</v>
      </c>
      <c r="X83" s="14">
        <v>0.99888600000000005</v>
      </c>
      <c r="Y83" s="14">
        <v>3.4696999999999999E-2</v>
      </c>
      <c r="Z83" s="13">
        <f t="shared" si="12"/>
        <v>3.4658347542E-2</v>
      </c>
      <c r="AA83" s="14">
        <f t="shared" si="13"/>
        <v>8.9206203696000019E-2</v>
      </c>
      <c r="AB83" s="46">
        <f t="shared" si="14"/>
        <v>8.9206203696000019E-2</v>
      </c>
    </row>
    <row r="84" spans="1:28" x14ac:dyDescent="0.7">
      <c r="A84" s="8">
        <v>16</v>
      </c>
      <c r="B84" s="9">
        <v>19000</v>
      </c>
      <c r="C84" s="15">
        <v>-44.020450186761437</v>
      </c>
      <c r="D84" s="10">
        <f t="shared" si="15"/>
        <v>-12.741862243394667</v>
      </c>
      <c r="E84" s="15">
        <v>31.27858794336677</v>
      </c>
      <c r="F84" s="15">
        <f t="shared" si="16"/>
        <v>31.055175743366767</v>
      </c>
      <c r="G84" s="11" t="s">
        <v>13</v>
      </c>
      <c r="H84" s="11" t="s">
        <v>16</v>
      </c>
      <c r="I84" s="12"/>
      <c r="J84" s="15"/>
      <c r="K84" s="12"/>
      <c r="L84" s="14">
        <v>1.4999260000000001</v>
      </c>
      <c r="M84" s="14">
        <v>2.613E-2</v>
      </c>
      <c r="N84" s="13">
        <f t="shared" si="9"/>
        <v>3.9193066380000002E-2</v>
      </c>
      <c r="O84" s="14">
        <v>1.8007169999999999</v>
      </c>
      <c r="P84" s="14">
        <v>1.323E-3</v>
      </c>
      <c r="Q84" s="14">
        <v>2.2833091560000001E-3</v>
      </c>
      <c r="R84" s="14">
        <v>0.99804300000000001</v>
      </c>
      <c r="S84" s="14">
        <v>2.8019999999999998E-3</v>
      </c>
      <c r="T84" s="13">
        <f t="shared" si="10"/>
        <v>2.796516486E-3</v>
      </c>
      <c r="U84" s="14">
        <v>1.7998130000000001</v>
      </c>
      <c r="V84" s="14">
        <v>5.7029999999999997E-3</v>
      </c>
      <c r="W84" s="13">
        <f t="shared" si="11"/>
        <v>1.0264333539E-2</v>
      </c>
      <c r="X84" s="14">
        <v>0.99888600000000005</v>
      </c>
      <c r="Y84" s="14">
        <v>3.4696999999999999E-2</v>
      </c>
      <c r="Z84" s="13">
        <f t="shared" si="12"/>
        <v>3.4658347542E-2</v>
      </c>
      <c r="AA84" s="14">
        <f t="shared" si="13"/>
        <v>8.9195573102999998E-2</v>
      </c>
      <c r="AB84" s="46">
        <f t="shared" si="14"/>
        <v>8.9195573102999998E-2</v>
      </c>
    </row>
    <row r="85" spans="1:28" x14ac:dyDescent="0.7">
      <c r="A85" s="8">
        <v>17</v>
      </c>
      <c r="B85" s="9">
        <v>19000</v>
      </c>
      <c r="C85" s="15">
        <v>-44.020450186761437</v>
      </c>
      <c r="D85" s="10">
        <f t="shared" si="15"/>
        <v>-13.025145443394667</v>
      </c>
      <c r="E85" s="15">
        <v>30.99530474336677</v>
      </c>
      <c r="F85" s="15">
        <f t="shared" si="16"/>
        <v>30.805175743366767</v>
      </c>
      <c r="G85" s="11" t="s">
        <v>13</v>
      </c>
      <c r="H85" s="11" t="s">
        <v>16</v>
      </c>
      <c r="I85" s="12"/>
      <c r="J85" s="15"/>
      <c r="K85" s="12"/>
      <c r="L85" s="14">
        <v>1.5001260000000001</v>
      </c>
      <c r="M85" s="14">
        <v>2.6134999999999999E-2</v>
      </c>
      <c r="N85" s="13">
        <f t="shared" si="9"/>
        <v>3.9205793009999997E-2</v>
      </c>
      <c r="O85" s="14">
        <v>1.8007169999999999</v>
      </c>
      <c r="P85" s="14">
        <v>1.322E-3</v>
      </c>
      <c r="Q85" s="14">
        <v>2.2815084389999998E-3</v>
      </c>
      <c r="R85" s="14">
        <v>0.99804300000000001</v>
      </c>
      <c r="S85" s="14">
        <v>2.8029999999999999E-3</v>
      </c>
      <c r="T85" s="13">
        <f t="shared" si="10"/>
        <v>2.7975145290000001E-3</v>
      </c>
      <c r="U85" s="14">
        <v>1.8000130000000001</v>
      </c>
      <c r="V85" s="14">
        <v>5.7010000000000003E-3</v>
      </c>
      <c r="W85" s="13">
        <f t="shared" si="11"/>
        <v>1.0261874113000001E-2</v>
      </c>
      <c r="X85" s="14">
        <v>0.99888600000000005</v>
      </c>
      <c r="Y85" s="14">
        <v>3.4763000000000002E-2</v>
      </c>
      <c r="Z85" s="13">
        <f t="shared" si="12"/>
        <v>3.4724274018000004E-2</v>
      </c>
      <c r="AA85" s="14">
        <f t="shared" si="13"/>
        <v>8.9270964108999998E-2</v>
      </c>
      <c r="AB85" s="46">
        <f t="shared" si="14"/>
        <v>8.9270964108999998E-2</v>
      </c>
    </row>
    <row r="86" spans="1:28" x14ac:dyDescent="0.7">
      <c r="A86" s="8">
        <v>18</v>
      </c>
      <c r="B86" s="9">
        <v>19000</v>
      </c>
      <c r="C86" s="15">
        <v>-44.020450186761437</v>
      </c>
      <c r="D86" s="10">
        <f t="shared" si="15"/>
        <v>-13.263796043394667</v>
      </c>
      <c r="E86" s="15">
        <v>30.75665414336677</v>
      </c>
      <c r="F86" s="15">
        <f t="shared" si="16"/>
        <v>30.555175743366767</v>
      </c>
      <c r="G86" s="11" t="s">
        <v>13</v>
      </c>
      <c r="H86" s="11" t="s">
        <v>16</v>
      </c>
      <c r="I86" s="12"/>
      <c r="J86" s="15"/>
      <c r="K86" s="12"/>
      <c r="L86" s="14">
        <v>1.5001260000000001</v>
      </c>
      <c r="M86" s="14">
        <v>2.6144000000000001E-2</v>
      </c>
      <c r="N86" s="13">
        <f t="shared" si="9"/>
        <v>3.9219294144000001E-2</v>
      </c>
      <c r="O86" s="14">
        <v>1.8007169999999999</v>
      </c>
      <c r="P86" s="14">
        <v>1.322E-3</v>
      </c>
      <c r="Q86" s="14">
        <v>2.2833091560000001E-3</v>
      </c>
      <c r="R86" s="14">
        <v>0.99804300000000001</v>
      </c>
      <c r="S86" s="14">
        <v>2.8040000000000001E-3</v>
      </c>
      <c r="T86" s="13">
        <f t="shared" si="10"/>
        <v>2.7985125720000003E-3</v>
      </c>
      <c r="U86" s="14">
        <v>1.7998130000000001</v>
      </c>
      <c r="V86" s="14">
        <v>5.7010000000000003E-3</v>
      </c>
      <c r="W86" s="13">
        <f t="shared" si="11"/>
        <v>1.0260733913000001E-2</v>
      </c>
      <c r="X86" s="14">
        <v>0.99888600000000005</v>
      </c>
      <c r="Y86" s="14">
        <v>3.4696999999999999E-2</v>
      </c>
      <c r="Z86" s="13">
        <f t="shared" si="12"/>
        <v>3.4658347542E-2</v>
      </c>
      <c r="AA86" s="14">
        <f t="shared" si="13"/>
        <v>8.9220197327000011E-2</v>
      </c>
      <c r="AB86" s="46">
        <f t="shared" si="14"/>
        <v>8.9220197327000011E-2</v>
      </c>
    </row>
    <row r="87" spans="1:28" x14ac:dyDescent="0.7">
      <c r="A87" s="8">
        <v>19</v>
      </c>
      <c r="B87" s="9">
        <v>19000</v>
      </c>
      <c r="C87" s="15">
        <v>-44.020450186761437</v>
      </c>
      <c r="D87" s="10">
        <f t="shared" si="15"/>
        <v>-13.545386843394667</v>
      </c>
      <c r="E87" s="15">
        <v>30.47506334336677</v>
      </c>
      <c r="F87" s="15">
        <f t="shared" si="16"/>
        <v>30.305175743366767</v>
      </c>
      <c r="G87" s="11" t="s">
        <v>13</v>
      </c>
      <c r="H87" s="11" t="s">
        <v>16</v>
      </c>
      <c r="I87" s="12"/>
      <c r="J87" s="15"/>
      <c r="K87" s="12"/>
      <c r="L87" s="14">
        <v>1.4999260000000001</v>
      </c>
      <c r="M87" s="14">
        <v>2.6137000000000001E-2</v>
      </c>
      <c r="N87" s="13">
        <f t="shared" si="9"/>
        <v>3.9203565862000002E-2</v>
      </c>
      <c r="O87" s="14">
        <v>1.8007169999999999</v>
      </c>
      <c r="P87" s="14">
        <v>1.322E-3</v>
      </c>
      <c r="Q87" s="14">
        <v>2.2815084389999998E-3</v>
      </c>
      <c r="R87" s="14">
        <v>0.99804300000000001</v>
      </c>
      <c r="S87" s="14">
        <v>2.8050000000000002E-3</v>
      </c>
      <c r="T87" s="13">
        <f t="shared" si="10"/>
        <v>2.7995106150000004E-3</v>
      </c>
      <c r="U87" s="14">
        <v>1.7998130000000001</v>
      </c>
      <c r="V87" s="14">
        <v>5.7060000000000001E-3</v>
      </c>
      <c r="W87" s="13">
        <f t="shared" si="11"/>
        <v>1.0269732978000001E-2</v>
      </c>
      <c r="X87" s="14">
        <v>0.99805100000000002</v>
      </c>
      <c r="Y87" s="14">
        <v>3.4696999999999999E-2</v>
      </c>
      <c r="Z87" s="13">
        <f t="shared" si="12"/>
        <v>3.4629375546999998E-2</v>
      </c>
      <c r="AA87" s="14">
        <f t="shared" si="13"/>
        <v>8.9183693440999995E-2</v>
      </c>
      <c r="AB87" s="46">
        <f t="shared" si="14"/>
        <v>8.9183693440999995E-2</v>
      </c>
    </row>
    <row r="88" spans="1:28" x14ac:dyDescent="0.7">
      <c r="A88" s="8">
        <v>20</v>
      </c>
      <c r="B88" s="9">
        <v>19000</v>
      </c>
      <c r="C88" s="15">
        <v>-44.020450186761437</v>
      </c>
      <c r="D88" s="10">
        <f t="shared" si="15"/>
        <v>-13.659722243394668</v>
      </c>
      <c r="E88" s="15">
        <v>30.360727943366768</v>
      </c>
      <c r="F88" s="15">
        <f t="shared" si="16"/>
        <v>30.055175743366767</v>
      </c>
      <c r="G88" s="11" t="s">
        <v>13</v>
      </c>
      <c r="H88" s="11" t="s">
        <v>16</v>
      </c>
      <c r="I88" s="12"/>
      <c r="J88" s="15"/>
      <c r="K88" s="12"/>
      <c r="L88" s="14">
        <v>1.4999260000000001</v>
      </c>
      <c r="M88" s="14">
        <v>2.6124999999999999E-2</v>
      </c>
      <c r="N88" s="13">
        <f t="shared" si="9"/>
        <v>3.9185566749999998E-2</v>
      </c>
      <c r="O88" s="14">
        <v>1.8007169999999999</v>
      </c>
      <c r="P88" s="14">
        <v>1.322E-3</v>
      </c>
      <c r="Q88" s="14">
        <v>2.2797077219999999E-3</v>
      </c>
      <c r="R88" s="14">
        <v>0.99804300000000001</v>
      </c>
      <c r="S88" s="14">
        <v>2.8040000000000001E-3</v>
      </c>
      <c r="T88" s="13">
        <f t="shared" si="10"/>
        <v>2.7985125720000003E-3</v>
      </c>
      <c r="U88" s="14">
        <v>1.7998130000000001</v>
      </c>
      <c r="V88" s="14">
        <v>5.6990000000000001E-3</v>
      </c>
      <c r="W88" s="13">
        <f t="shared" si="11"/>
        <v>1.0257134287000001E-2</v>
      </c>
      <c r="X88" s="14">
        <v>0.99888600000000005</v>
      </c>
      <c r="Y88" s="14">
        <v>3.4763000000000002E-2</v>
      </c>
      <c r="Z88" s="13">
        <f t="shared" si="12"/>
        <v>3.4724274018000004E-2</v>
      </c>
      <c r="AA88" s="14">
        <f t="shared" si="13"/>
        <v>8.9245195348999995E-2</v>
      </c>
      <c r="AB88" s="46">
        <f t="shared" si="14"/>
        <v>8.9245195348999995E-2</v>
      </c>
    </row>
    <row r="89" spans="1:28" x14ac:dyDescent="0.7">
      <c r="A89" s="8">
        <v>21</v>
      </c>
      <c r="B89" s="9">
        <v>19000</v>
      </c>
      <c r="C89" s="15">
        <v>-44.020450186761437</v>
      </c>
      <c r="D89" s="10">
        <f t="shared" si="15"/>
        <v>-13.952781443394667</v>
      </c>
      <c r="E89" s="15">
        <v>30.06766874336677</v>
      </c>
      <c r="F89" s="15">
        <f t="shared" si="16"/>
        <v>29.805175743366767</v>
      </c>
      <c r="G89" s="11" t="s">
        <v>13</v>
      </c>
      <c r="H89" s="11" t="s">
        <v>16</v>
      </c>
      <c r="I89" s="12"/>
      <c r="J89" s="15"/>
      <c r="K89" s="12"/>
      <c r="L89" s="14">
        <v>1.4999260000000001</v>
      </c>
      <c r="M89" s="14">
        <v>2.6082000000000001E-2</v>
      </c>
      <c r="N89" s="13">
        <f t="shared" si="9"/>
        <v>3.9121069932000006E-2</v>
      </c>
      <c r="O89" s="14">
        <v>1.8007169999999999</v>
      </c>
      <c r="P89" s="14">
        <v>1.3209999999999999E-3</v>
      </c>
      <c r="Q89" s="14">
        <v>2.277907005E-3</v>
      </c>
      <c r="R89" s="14">
        <v>0.99804300000000001</v>
      </c>
      <c r="S89" s="14">
        <v>2.8040000000000001E-3</v>
      </c>
      <c r="T89" s="13">
        <f t="shared" si="10"/>
        <v>2.7985125720000003E-3</v>
      </c>
      <c r="U89" s="14">
        <v>1.7998130000000001</v>
      </c>
      <c r="V89" s="14">
        <v>5.7029999999999997E-3</v>
      </c>
      <c r="W89" s="13">
        <f t="shared" si="11"/>
        <v>1.0264333539E-2</v>
      </c>
      <c r="X89" s="14">
        <v>0.99888600000000005</v>
      </c>
      <c r="Y89" s="14">
        <v>3.4763000000000002E-2</v>
      </c>
      <c r="Z89" s="13">
        <f t="shared" si="12"/>
        <v>3.4724274018000004E-2</v>
      </c>
      <c r="AA89" s="14">
        <f t="shared" si="13"/>
        <v>8.9186097066000003E-2</v>
      </c>
      <c r="AB89" s="46">
        <f t="shared" si="14"/>
        <v>8.9186097066000003E-2</v>
      </c>
    </row>
    <row r="90" spans="1:28" x14ac:dyDescent="0.7">
      <c r="A90" s="8">
        <v>22</v>
      </c>
      <c r="B90" s="9">
        <v>19000</v>
      </c>
      <c r="C90" s="15">
        <v>-44.020450186761437</v>
      </c>
      <c r="D90" s="10">
        <f t="shared" si="15"/>
        <v>-14.193192743394675</v>
      </c>
      <c r="E90" s="15">
        <v>29.827257443366761</v>
      </c>
      <c r="F90" s="15">
        <f t="shared" si="16"/>
        <v>29.555175743366767</v>
      </c>
      <c r="G90" s="11" t="s">
        <v>13</v>
      </c>
      <c r="H90" s="11" t="s">
        <v>16</v>
      </c>
      <c r="I90" s="12"/>
      <c r="J90" s="15"/>
      <c r="K90" s="12"/>
      <c r="L90" s="14">
        <v>1.4999260000000001</v>
      </c>
      <c r="M90" s="14">
        <v>2.6082000000000001E-2</v>
      </c>
      <c r="N90" s="13">
        <f t="shared" si="9"/>
        <v>3.9121069932000006E-2</v>
      </c>
      <c r="O90" s="14">
        <v>1.799882</v>
      </c>
      <c r="P90" s="14">
        <v>1.3209999999999999E-3</v>
      </c>
      <c r="Q90" s="14">
        <v>2.2761062879999997E-3</v>
      </c>
      <c r="R90" s="14">
        <v>0.99804300000000001</v>
      </c>
      <c r="S90" s="14">
        <v>2.8050000000000002E-3</v>
      </c>
      <c r="T90" s="13">
        <f t="shared" si="10"/>
        <v>2.7995106150000004E-3</v>
      </c>
      <c r="U90" s="14">
        <v>1.7998130000000001</v>
      </c>
      <c r="V90" s="14">
        <v>5.6969999999999998E-3</v>
      </c>
      <c r="W90" s="13">
        <f t="shared" si="11"/>
        <v>1.0253534660999999E-2</v>
      </c>
      <c r="X90" s="14">
        <v>0.99888600000000005</v>
      </c>
      <c r="Y90" s="14">
        <v>3.4696999999999999E-2</v>
      </c>
      <c r="Z90" s="13">
        <f t="shared" si="12"/>
        <v>3.4658347542E-2</v>
      </c>
      <c r="AA90" s="14">
        <f t="shared" si="13"/>
        <v>8.9108569038000005E-2</v>
      </c>
      <c r="AB90" s="46">
        <f t="shared" si="14"/>
        <v>8.9108569038000005E-2</v>
      </c>
    </row>
    <row r="91" spans="1:28" x14ac:dyDescent="0.7">
      <c r="A91" s="8">
        <v>23</v>
      </c>
      <c r="B91" s="9">
        <v>19000</v>
      </c>
      <c r="C91" s="15">
        <v>-44.020450186761437</v>
      </c>
      <c r="D91" s="10">
        <f t="shared" si="15"/>
        <v>-14.488246943394667</v>
      </c>
      <c r="E91" s="15">
        <v>29.532203243366769</v>
      </c>
      <c r="F91" s="15">
        <f t="shared" si="16"/>
        <v>29.305175743366767</v>
      </c>
      <c r="G91" s="11" t="s">
        <v>13</v>
      </c>
      <c r="H91" s="11" t="s">
        <v>16</v>
      </c>
      <c r="I91" s="29"/>
      <c r="J91" s="15"/>
      <c r="K91" s="12"/>
      <c r="L91" s="14">
        <v>1.4999260000000001</v>
      </c>
      <c r="M91" s="14">
        <v>2.6079000000000001E-2</v>
      </c>
      <c r="N91" s="13">
        <f t="shared" si="9"/>
        <v>3.9116570154000004E-2</v>
      </c>
      <c r="O91" s="14">
        <v>1.8007169999999999</v>
      </c>
      <c r="P91" s="14">
        <v>1.322E-3</v>
      </c>
      <c r="Q91" s="14">
        <v>2.2761062879999997E-3</v>
      </c>
      <c r="R91" s="14">
        <v>0.99804300000000001</v>
      </c>
      <c r="S91" s="14">
        <v>2.8059999999999999E-3</v>
      </c>
      <c r="T91" s="13">
        <f t="shared" si="10"/>
        <v>2.8005086580000001E-3</v>
      </c>
      <c r="U91" s="14">
        <v>1.7998130000000001</v>
      </c>
      <c r="V91" s="14">
        <v>5.6969999999999998E-3</v>
      </c>
      <c r="W91" s="13">
        <f t="shared" si="11"/>
        <v>1.0253534660999999E-2</v>
      </c>
      <c r="X91" s="14">
        <v>0.99888600000000005</v>
      </c>
      <c r="Y91" s="14">
        <v>3.4696999999999999E-2</v>
      </c>
      <c r="Z91" s="13">
        <f t="shared" si="12"/>
        <v>3.4658347542E-2</v>
      </c>
      <c r="AA91" s="14">
        <f t="shared" si="13"/>
        <v>8.9105067302999996E-2</v>
      </c>
      <c r="AB91" s="46">
        <f t="shared" si="14"/>
        <v>8.9105067302999996E-2</v>
      </c>
    </row>
    <row r="92" spans="1:28" x14ac:dyDescent="0.7">
      <c r="A92" s="8">
        <v>24</v>
      </c>
      <c r="B92" s="9">
        <v>19000</v>
      </c>
      <c r="C92" s="15">
        <v>-44.020450186761437</v>
      </c>
      <c r="D92" s="10">
        <f t="shared" si="15"/>
        <v>-14.843337943394666</v>
      </c>
      <c r="E92" s="15">
        <v>29.177112243366771</v>
      </c>
      <c r="F92" s="15">
        <f t="shared" si="16"/>
        <v>29.055175743366767</v>
      </c>
      <c r="G92" s="11" t="s">
        <v>13</v>
      </c>
      <c r="H92" s="11" t="s">
        <v>16</v>
      </c>
      <c r="I92" s="12"/>
      <c r="J92" s="15"/>
      <c r="K92" s="12"/>
      <c r="L92" s="14">
        <v>1.4999260000000001</v>
      </c>
      <c r="M92" s="14">
        <v>2.6081E-2</v>
      </c>
      <c r="N92" s="13">
        <f t="shared" si="9"/>
        <v>3.9119570006000005E-2</v>
      </c>
      <c r="O92" s="14">
        <v>1.8007169999999999</v>
      </c>
      <c r="P92" s="14">
        <v>1.3240000000000001E-3</v>
      </c>
      <c r="Q92" s="14">
        <v>2.2743055709999998E-3</v>
      </c>
      <c r="R92" s="14">
        <v>0.99804300000000001</v>
      </c>
      <c r="S92" s="14">
        <v>2.7950000000000002E-3</v>
      </c>
      <c r="T92" s="13">
        <f t="shared" si="10"/>
        <v>2.7895301850000003E-3</v>
      </c>
      <c r="U92" s="14">
        <v>1.7998130000000001</v>
      </c>
      <c r="V92" s="14">
        <v>5.6990000000000001E-3</v>
      </c>
      <c r="W92" s="13">
        <f t="shared" si="11"/>
        <v>1.0257134287000001E-2</v>
      </c>
      <c r="X92" s="14">
        <v>0.99888600000000005</v>
      </c>
      <c r="Y92" s="14">
        <v>3.4632000000000003E-2</v>
      </c>
      <c r="Z92" s="13">
        <f t="shared" si="12"/>
        <v>3.4593419952000007E-2</v>
      </c>
      <c r="AA92" s="14">
        <f t="shared" si="13"/>
        <v>8.9033960001000015E-2</v>
      </c>
      <c r="AB92" s="46">
        <f t="shared" si="14"/>
        <v>8.9033960001000015E-2</v>
      </c>
    </row>
    <row r="93" spans="1:28" x14ac:dyDescent="0.7">
      <c r="A93" s="8">
        <v>25</v>
      </c>
      <c r="B93" s="9">
        <v>19000</v>
      </c>
      <c r="C93" s="15">
        <v>-44.020450186761437</v>
      </c>
      <c r="D93" s="10">
        <f t="shared" si="15"/>
        <v>-15.122836343394667</v>
      </c>
      <c r="E93" s="15">
        <v>28.89761384336677</v>
      </c>
      <c r="F93" s="15">
        <f t="shared" si="16"/>
        <v>28.805175743366767</v>
      </c>
      <c r="G93" s="11" t="s">
        <v>13</v>
      </c>
      <c r="H93" s="11" t="s">
        <v>16</v>
      </c>
      <c r="I93" s="12"/>
      <c r="J93" s="15"/>
      <c r="K93" s="12"/>
      <c r="L93" s="14">
        <v>1.4999260000000001</v>
      </c>
      <c r="M93" s="14">
        <v>2.6076999999999999E-2</v>
      </c>
      <c r="N93" s="13">
        <f t="shared" si="9"/>
        <v>3.9113570302000002E-2</v>
      </c>
      <c r="O93" s="14">
        <v>1.8007169999999999</v>
      </c>
      <c r="P93" s="14">
        <v>1.323E-3</v>
      </c>
      <c r="Q93" s="14">
        <v>2.2743055709999998E-3</v>
      </c>
      <c r="R93" s="14">
        <v>0.99804300000000001</v>
      </c>
      <c r="S93" s="14">
        <v>2.7959999999999999E-3</v>
      </c>
      <c r="T93" s="13">
        <f t="shared" si="10"/>
        <v>2.790528228E-3</v>
      </c>
      <c r="U93" s="14">
        <v>1.7998130000000001</v>
      </c>
      <c r="V93" s="14">
        <v>5.6990000000000001E-3</v>
      </c>
      <c r="W93" s="13">
        <f t="shared" si="11"/>
        <v>1.0257134287000001E-2</v>
      </c>
      <c r="X93" s="14">
        <v>0.99888600000000005</v>
      </c>
      <c r="Y93" s="14">
        <v>3.4632000000000003E-2</v>
      </c>
      <c r="Z93" s="13">
        <f t="shared" si="12"/>
        <v>3.4593419952000007E-2</v>
      </c>
      <c r="AA93" s="14">
        <f t="shared" si="13"/>
        <v>8.902895834000002E-2</v>
      </c>
      <c r="AB93" s="46">
        <f t="shared" si="14"/>
        <v>8.902895834000002E-2</v>
      </c>
    </row>
    <row r="94" spans="1:28" x14ac:dyDescent="0.7">
      <c r="A94" s="8">
        <v>26</v>
      </c>
      <c r="B94" s="9">
        <v>19000</v>
      </c>
      <c r="C94" s="15">
        <v>-44.020450186761437</v>
      </c>
      <c r="D94" s="10">
        <f t="shared" si="15"/>
        <v>-15.333665043394667</v>
      </c>
      <c r="E94" s="15">
        <v>28.68678514336677</v>
      </c>
      <c r="F94" s="15">
        <f t="shared" si="16"/>
        <v>28.555175743366767</v>
      </c>
      <c r="G94" s="11" t="s">
        <v>13</v>
      </c>
      <c r="H94" s="11" t="s">
        <v>16</v>
      </c>
      <c r="I94" s="12"/>
      <c r="J94" s="15"/>
      <c r="K94" s="12"/>
      <c r="L94" s="14">
        <v>1.4999260000000001</v>
      </c>
      <c r="M94" s="14">
        <v>2.6081E-2</v>
      </c>
      <c r="N94" s="13">
        <f t="shared" si="9"/>
        <v>3.9119570006000005E-2</v>
      </c>
      <c r="O94" s="14">
        <v>1.8007169999999999</v>
      </c>
      <c r="P94" s="14">
        <v>1.322E-3</v>
      </c>
      <c r="Q94" s="14">
        <v>2.2725048539999999E-3</v>
      </c>
      <c r="R94" s="14">
        <v>0.99804300000000001</v>
      </c>
      <c r="S94" s="14">
        <v>2.797E-3</v>
      </c>
      <c r="T94" s="13">
        <f t="shared" si="10"/>
        <v>2.7915262710000001E-3</v>
      </c>
      <c r="U94" s="14">
        <v>1.7998130000000001</v>
      </c>
      <c r="V94" s="14">
        <v>5.6990000000000001E-3</v>
      </c>
      <c r="W94" s="13">
        <f t="shared" si="11"/>
        <v>1.0257134287000001E-2</v>
      </c>
      <c r="X94" s="14">
        <v>0.99888600000000005</v>
      </c>
      <c r="Y94" s="14">
        <v>3.4632000000000003E-2</v>
      </c>
      <c r="Z94" s="13">
        <f t="shared" si="12"/>
        <v>3.4593419952000007E-2</v>
      </c>
      <c r="AA94" s="14">
        <f t="shared" si="13"/>
        <v>8.9034155370000007E-2</v>
      </c>
      <c r="AB94" s="46">
        <f t="shared" si="14"/>
        <v>8.9034155370000007E-2</v>
      </c>
    </row>
    <row r="95" spans="1:28" x14ac:dyDescent="0.7">
      <c r="A95" s="8">
        <v>27</v>
      </c>
      <c r="B95" s="9">
        <v>19000</v>
      </c>
      <c r="C95" s="15">
        <v>-44.020450186761437</v>
      </c>
      <c r="D95" s="10">
        <f t="shared" si="15"/>
        <v>-15.674176243394665</v>
      </c>
      <c r="E95" s="15">
        <v>28.346273943366771</v>
      </c>
      <c r="F95" s="15">
        <f t="shared" si="16"/>
        <v>28.305175743366767</v>
      </c>
      <c r="G95" s="11" t="s">
        <v>13</v>
      </c>
      <c r="H95" s="11" t="s">
        <v>16</v>
      </c>
      <c r="I95" s="12"/>
      <c r="J95" s="15"/>
      <c r="K95" s="12"/>
      <c r="L95" s="14">
        <v>1.4999260000000001</v>
      </c>
      <c r="M95" s="14">
        <v>2.6075000000000001E-2</v>
      </c>
      <c r="N95" s="13">
        <f t="shared" si="9"/>
        <v>3.9110570450000007E-2</v>
      </c>
      <c r="O95" s="14">
        <v>1.8007169999999999</v>
      </c>
      <c r="P95" s="14">
        <v>1.323E-3</v>
      </c>
      <c r="Q95" s="14">
        <v>2.2725048539999999E-3</v>
      </c>
      <c r="R95" s="14">
        <v>0.99804300000000001</v>
      </c>
      <c r="S95" s="14">
        <v>2.7980000000000001E-3</v>
      </c>
      <c r="T95" s="13">
        <f t="shared" si="10"/>
        <v>2.7925243140000003E-3</v>
      </c>
      <c r="U95" s="14">
        <v>1.8000130000000001</v>
      </c>
      <c r="V95" s="14">
        <v>5.6990000000000001E-3</v>
      </c>
      <c r="W95" s="13">
        <f t="shared" si="11"/>
        <v>1.0258274087E-2</v>
      </c>
      <c r="X95" s="14">
        <v>0.99888600000000005</v>
      </c>
      <c r="Y95" s="14">
        <v>3.4763000000000002E-2</v>
      </c>
      <c r="Z95" s="13">
        <f t="shared" si="12"/>
        <v>3.4724274018000004E-2</v>
      </c>
      <c r="AA95" s="14">
        <f t="shared" si="13"/>
        <v>8.9158147723000014E-2</v>
      </c>
      <c r="AB95" s="46">
        <f t="shared" si="14"/>
        <v>8.9158147723000014E-2</v>
      </c>
    </row>
    <row r="96" spans="1:28" x14ac:dyDescent="0.7">
      <c r="A96" s="8">
        <v>28</v>
      </c>
      <c r="B96" s="9">
        <v>19000</v>
      </c>
      <c r="C96" s="15">
        <v>-44.020450186761437</v>
      </c>
      <c r="D96" s="10">
        <f t="shared" si="15"/>
        <v>-15.762490543394666</v>
      </c>
      <c r="E96" s="15">
        <v>28.257959643366771</v>
      </c>
      <c r="F96" s="15">
        <f t="shared" si="16"/>
        <v>28.055175743366767</v>
      </c>
      <c r="G96" s="11" t="s">
        <v>13</v>
      </c>
      <c r="H96" s="11" t="s">
        <v>16</v>
      </c>
      <c r="I96" s="12"/>
      <c r="J96" s="15"/>
      <c r="K96" s="12"/>
      <c r="L96" s="14">
        <v>1.4999260000000001</v>
      </c>
      <c r="M96" s="14">
        <v>2.6084E-2</v>
      </c>
      <c r="N96" s="13">
        <f t="shared" si="9"/>
        <v>3.9124069784000001E-2</v>
      </c>
      <c r="O96" s="14">
        <v>1.8007169999999999</v>
      </c>
      <c r="P96" s="14">
        <v>1.323E-3</v>
      </c>
      <c r="Q96" s="14">
        <v>2.270704137E-3</v>
      </c>
      <c r="R96" s="14">
        <v>0.99804300000000001</v>
      </c>
      <c r="S96" s="14">
        <v>2.797E-3</v>
      </c>
      <c r="T96" s="13">
        <f t="shared" si="10"/>
        <v>2.7915262710000001E-3</v>
      </c>
      <c r="U96" s="14">
        <v>1.7998130000000001</v>
      </c>
      <c r="V96" s="14">
        <v>5.692E-3</v>
      </c>
      <c r="W96" s="13">
        <f t="shared" si="11"/>
        <v>1.0244535596E-2</v>
      </c>
      <c r="X96" s="14">
        <v>0.99888600000000005</v>
      </c>
      <c r="Y96" s="14">
        <v>3.4566E-2</v>
      </c>
      <c r="Z96" s="13">
        <f t="shared" si="12"/>
        <v>3.4527493476000003E-2</v>
      </c>
      <c r="AA96" s="14">
        <f t="shared" si="13"/>
        <v>8.8958329264000005E-2</v>
      </c>
      <c r="AB96" s="46">
        <f t="shared" si="14"/>
        <v>8.8958329264000005E-2</v>
      </c>
    </row>
    <row r="97" spans="1:28" x14ac:dyDescent="0.7">
      <c r="A97" s="8">
        <v>29</v>
      </c>
      <c r="B97" s="9">
        <v>19000</v>
      </c>
      <c r="C97" s="15">
        <v>-44.020450186761437</v>
      </c>
      <c r="D97" s="10">
        <f t="shared" si="15"/>
        <v>-16.014120343394666</v>
      </c>
      <c r="E97" s="15">
        <v>28.006329843366771</v>
      </c>
      <c r="F97" s="15">
        <f t="shared" si="16"/>
        <v>27.805175743366767</v>
      </c>
      <c r="G97" s="11" t="s">
        <v>13</v>
      </c>
      <c r="H97" s="11" t="s">
        <v>16</v>
      </c>
      <c r="I97" s="12"/>
      <c r="J97" s="15"/>
      <c r="K97" s="12"/>
      <c r="L97" s="14">
        <v>1.5001260000000001</v>
      </c>
      <c r="M97" s="14">
        <v>2.6058999999999999E-2</v>
      </c>
      <c r="N97" s="13">
        <f t="shared" si="9"/>
        <v>3.9091783434000001E-2</v>
      </c>
      <c r="O97" s="14">
        <v>1.8007169999999999</v>
      </c>
      <c r="P97" s="14">
        <v>1.323E-3</v>
      </c>
      <c r="Q97" s="14">
        <v>2.270704137E-3</v>
      </c>
      <c r="R97" s="14">
        <v>0.99804300000000001</v>
      </c>
      <c r="S97" s="14">
        <v>2.797E-3</v>
      </c>
      <c r="T97" s="13">
        <f t="shared" si="10"/>
        <v>2.7915262710000001E-3</v>
      </c>
      <c r="U97" s="14">
        <v>1.7998130000000001</v>
      </c>
      <c r="V97" s="14">
        <v>5.6940000000000003E-3</v>
      </c>
      <c r="W97" s="13">
        <f t="shared" si="11"/>
        <v>1.0248135222000002E-2</v>
      </c>
      <c r="X97" s="14">
        <v>0.99888600000000005</v>
      </c>
      <c r="Y97" s="14">
        <v>3.4632000000000003E-2</v>
      </c>
      <c r="Z97" s="13">
        <f t="shared" si="12"/>
        <v>3.4593419952000007E-2</v>
      </c>
      <c r="AA97" s="14">
        <f t="shared" si="13"/>
        <v>8.8995569016000003E-2</v>
      </c>
      <c r="AB97" s="46">
        <f t="shared" si="14"/>
        <v>8.8995569016000003E-2</v>
      </c>
    </row>
    <row r="98" spans="1:28" x14ac:dyDescent="0.7">
      <c r="A98" s="8">
        <v>30</v>
      </c>
      <c r="B98" s="9">
        <v>19000</v>
      </c>
      <c r="C98" s="15">
        <v>-44.020450186761437</v>
      </c>
      <c r="D98" s="10">
        <f t="shared" si="15"/>
        <v>-16.281119743394665</v>
      </c>
      <c r="E98" s="15">
        <v>27.739330443366772</v>
      </c>
      <c r="F98" s="15">
        <f t="shared" si="16"/>
        <v>27.555175743366767</v>
      </c>
      <c r="G98" s="11" t="s">
        <v>13</v>
      </c>
      <c r="H98" s="11" t="s">
        <v>16</v>
      </c>
      <c r="I98" s="12"/>
      <c r="J98" s="15"/>
      <c r="K98" s="12"/>
      <c r="L98" s="14">
        <v>1.5001260000000001</v>
      </c>
      <c r="M98" s="14">
        <v>2.6072000000000001E-2</v>
      </c>
      <c r="N98" s="13">
        <f t="shared" si="9"/>
        <v>3.9111285072000006E-2</v>
      </c>
      <c r="O98" s="14">
        <v>1.8007169999999999</v>
      </c>
      <c r="P98" s="14">
        <v>1.322E-3</v>
      </c>
      <c r="Q98" s="14">
        <v>2.270704137E-3</v>
      </c>
      <c r="R98" s="14">
        <v>0.99804300000000001</v>
      </c>
      <c r="S98" s="14">
        <v>2.7980000000000001E-3</v>
      </c>
      <c r="T98" s="13">
        <f t="shared" si="10"/>
        <v>2.7925243140000003E-3</v>
      </c>
      <c r="U98" s="14">
        <v>1.7998130000000001</v>
      </c>
      <c r="V98" s="14">
        <v>5.6940000000000003E-3</v>
      </c>
      <c r="W98" s="13">
        <f t="shared" si="11"/>
        <v>1.0248135222000002E-2</v>
      </c>
      <c r="X98" s="14">
        <v>0.99888600000000005</v>
      </c>
      <c r="Y98" s="14">
        <v>3.4632000000000003E-2</v>
      </c>
      <c r="Z98" s="13">
        <f t="shared" si="12"/>
        <v>3.4593419952000007E-2</v>
      </c>
      <c r="AA98" s="14">
        <f t="shared" si="13"/>
        <v>8.9016068697000017E-2</v>
      </c>
      <c r="AB98" s="46">
        <f t="shared" si="14"/>
        <v>8.9016068697000017E-2</v>
      </c>
    </row>
    <row r="99" spans="1:28" x14ac:dyDescent="0.7">
      <c r="A99" s="16">
        <v>31</v>
      </c>
      <c r="B99" s="9">
        <v>19000</v>
      </c>
      <c r="C99" s="15">
        <v>-44.020450186761437</v>
      </c>
      <c r="D99" s="10">
        <f t="shared" si="15"/>
        <v>-16.535072743394668</v>
      </c>
      <c r="E99" s="15">
        <v>27.485377443366769</v>
      </c>
      <c r="F99" s="15">
        <f t="shared" si="16"/>
        <v>27.305175743366767</v>
      </c>
      <c r="G99" s="11" t="s">
        <v>13</v>
      </c>
      <c r="H99" s="11" t="s">
        <v>16</v>
      </c>
      <c r="I99" s="18"/>
      <c r="J99" s="17"/>
      <c r="K99" s="18"/>
      <c r="L99" s="19">
        <v>1.4999260000000001</v>
      </c>
      <c r="M99" s="19">
        <v>2.6061000000000001E-2</v>
      </c>
      <c r="N99" s="13">
        <f t="shared" si="9"/>
        <v>3.9089571486000001E-2</v>
      </c>
      <c r="O99" s="19">
        <v>1.8007169999999999</v>
      </c>
      <c r="P99" s="19">
        <v>1.323E-3</v>
      </c>
      <c r="Q99" s="19">
        <v>2.2725048539999999E-3</v>
      </c>
      <c r="R99" s="19">
        <v>0.99804300000000001</v>
      </c>
      <c r="S99" s="19">
        <v>2.8E-3</v>
      </c>
      <c r="T99" s="13">
        <f t="shared" si="10"/>
        <v>2.7945204000000001E-3</v>
      </c>
      <c r="U99" s="19">
        <v>1.7998130000000001</v>
      </c>
      <c r="V99" s="19">
        <v>5.692E-3</v>
      </c>
      <c r="W99" s="13">
        <f t="shared" si="11"/>
        <v>1.0244535596E-2</v>
      </c>
      <c r="X99" s="19">
        <v>0.99888600000000005</v>
      </c>
      <c r="Y99" s="19">
        <v>3.4632000000000003E-2</v>
      </c>
      <c r="Z99" s="13">
        <f t="shared" si="12"/>
        <v>3.4593419952000007E-2</v>
      </c>
      <c r="AA99" s="14">
        <f t="shared" si="13"/>
        <v>8.8994552288000003E-2</v>
      </c>
      <c r="AB99" s="46">
        <f t="shared" si="14"/>
        <v>8.8994552288000003E-2</v>
      </c>
    </row>
    <row r="100" spans="1:28" x14ac:dyDescent="0.7">
      <c r="A100" s="16">
        <v>32</v>
      </c>
      <c r="B100" s="9">
        <v>19000</v>
      </c>
      <c r="C100" s="15">
        <v>-44.020450186761437</v>
      </c>
      <c r="D100" s="10">
        <f t="shared" si="15"/>
        <v>-16.969576243394666</v>
      </c>
      <c r="E100" s="15">
        <v>27.050873943366771</v>
      </c>
      <c r="F100" s="15">
        <f t="shared" si="16"/>
        <v>27.055175743366767</v>
      </c>
      <c r="G100" s="11" t="s">
        <v>13</v>
      </c>
      <c r="H100" s="11" t="s">
        <v>16</v>
      </c>
      <c r="I100" s="18"/>
      <c r="J100" s="17"/>
      <c r="K100" s="18"/>
      <c r="L100" s="19">
        <v>1.4999260000000001</v>
      </c>
      <c r="M100" s="19">
        <v>2.6058999999999999E-2</v>
      </c>
      <c r="N100" s="13">
        <f t="shared" si="9"/>
        <v>3.9086571633999999E-2</v>
      </c>
      <c r="O100" s="19">
        <v>1.8007169999999999</v>
      </c>
      <c r="P100" s="19">
        <v>1.322E-3</v>
      </c>
      <c r="Q100" s="19">
        <v>2.2725048539999999E-3</v>
      </c>
      <c r="R100" s="19">
        <v>0.99804300000000001</v>
      </c>
      <c r="S100" s="19">
        <v>2.7989999999999998E-3</v>
      </c>
      <c r="T100" s="13">
        <f t="shared" si="10"/>
        <v>2.793522357E-3</v>
      </c>
      <c r="U100" s="19">
        <v>1.7998130000000001</v>
      </c>
      <c r="V100" s="19">
        <v>5.6969999999999998E-3</v>
      </c>
      <c r="W100" s="13">
        <f t="shared" si="11"/>
        <v>1.0253534660999999E-2</v>
      </c>
      <c r="X100" s="19">
        <v>0.99888600000000005</v>
      </c>
      <c r="Y100" s="19">
        <v>3.4632000000000003E-2</v>
      </c>
      <c r="Z100" s="13">
        <f t="shared" si="12"/>
        <v>3.4593419952000007E-2</v>
      </c>
      <c r="AA100" s="14">
        <f t="shared" si="13"/>
        <v>8.8999553458000008E-2</v>
      </c>
      <c r="AB100" s="46">
        <f t="shared" si="14"/>
        <v>8.8999553458000008E-2</v>
      </c>
    </row>
  </sheetData>
  <autoFilter ref="A1:AA99" xr:uid="{74515228-744A-4D2D-B3A5-0583E17F14D0}"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</autoFilter>
  <mergeCells count="17">
    <mergeCell ref="L1:N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O1:Q1"/>
    <mergeCell ref="R1:T1"/>
    <mergeCell ref="U1:W1"/>
    <mergeCell ref="X1:Z1"/>
    <mergeCell ref="AA1:AA2"/>
  </mergeCells>
  <phoneticPr fontId="2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1FA70-FFD5-459E-8B2A-DF776875EECD}">
  <sheetPr>
    <tabColor theme="7" tint="0.79998168889431442"/>
  </sheetPr>
  <dimension ref="A1:AH100"/>
  <sheetViews>
    <sheetView showGridLines="0" topLeftCell="X1" zoomScale="115" zoomScaleNormal="115" workbookViewId="0">
      <pane ySplit="2" topLeftCell="A9" activePane="bottomLeft" state="frozen"/>
      <selection pane="bottomLeft" activeCell="AL18" sqref="AL18"/>
    </sheetView>
  </sheetViews>
  <sheetFormatPr defaultRowHeight="18" x14ac:dyDescent="0.6"/>
  <cols>
    <col min="1" max="1" width="6.25" style="6" customWidth="1"/>
    <col min="2" max="2" width="7.375" style="4" bestFit="1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14.375" style="3" bestFit="1" customWidth="1"/>
    <col min="7" max="7" width="9.375" style="5" bestFit="1" customWidth="1"/>
    <col min="8" max="8" width="8.375" style="5" bestFit="1" customWidth="1"/>
    <col min="9" max="9" width="8.375" style="5" customWidth="1"/>
    <col min="10" max="10" width="15.25" style="3" bestFit="1" customWidth="1"/>
    <col min="11" max="11" width="7.125" style="5" bestFit="1" customWidth="1"/>
    <col min="12" max="13" width="6.75" style="7" bestFit="1" customWidth="1"/>
    <col min="14" max="14" width="8.75" style="7" bestFit="1" customWidth="1"/>
    <col min="15" max="16" width="6.75" style="7" bestFit="1" customWidth="1"/>
    <col min="17" max="17" width="14.375" style="7" bestFit="1" customWidth="1"/>
    <col min="18" max="19" width="6.75" style="7" bestFit="1" customWidth="1"/>
    <col min="20" max="20" width="13.125" style="7" bestFit="1" customWidth="1"/>
    <col min="21" max="22" width="6.75" style="7" bestFit="1" customWidth="1"/>
    <col min="23" max="23" width="15.25" style="7" bestFit="1" customWidth="1"/>
    <col min="24" max="25" width="6.75" style="7" bestFit="1" customWidth="1"/>
    <col min="26" max="26" width="15.25" style="7" bestFit="1" customWidth="1"/>
    <col min="27" max="27" width="9.75" style="7" bestFit="1" customWidth="1"/>
    <col min="29" max="16384" width="9" style="1"/>
  </cols>
  <sheetData>
    <row r="1" spans="1:34" ht="19.5" customHeight="1" x14ac:dyDescent="0.6">
      <c r="A1" s="62" t="s">
        <v>12</v>
      </c>
      <c r="B1" s="64" t="s">
        <v>23</v>
      </c>
      <c r="C1" s="66" t="s">
        <v>24</v>
      </c>
      <c r="D1" s="66" t="s">
        <v>25</v>
      </c>
      <c r="E1" s="66" t="s">
        <v>26</v>
      </c>
      <c r="F1" s="66" t="s">
        <v>30</v>
      </c>
      <c r="G1" s="67" t="s">
        <v>4</v>
      </c>
      <c r="H1" s="67" t="s">
        <v>5</v>
      </c>
      <c r="I1" s="66" t="s">
        <v>21</v>
      </c>
      <c r="J1" s="66" t="s">
        <v>27</v>
      </c>
      <c r="K1" s="58" t="s">
        <v>28</v>
      </c>
      <c r="L1" s="57" t="s">
        <v>41</v>
      </c>
      <c r="M1" s="57"/>
      <c r="N1" s="57"/>
      <c r="O1" s="57" t="s">
        <v>0</v>
      </c>
      <c r="P1" s="57"/>
      <c r="Q1" s="57"/>
      <c r="R1" s="57" t="s">
        <v>1</v>
      </c>
      <c r="S1" s="57"/>
      <c r="T1" s="57"/>
      <c r="U1" s="57" t="s">
        <v>2</v>
      </c>
      <c r="V1" s="57"/>
      <c r="W1" s="57"/>
      <c r="X1" s="57" t="s">
        <v>35</v>
      </c>
      <c r="Y1" s="57"/>
      <c r="Z1" s="57"/>
      <c r="AA1" s="60" t="s">
        <v>29</v>
      </c>
      <c r="AB1" s="44" t="s">
        <v>33</v>
      </c>
      <c r="AD1" s="42" t="s">
        <v>31</v>
      </c>
      <c r="AE1" s="43">
        <v>19.3</v>
      </c>
      <c r="AF1" s="43" t="s">
        <v>32</v>
      </c>
    </row>
    <row r="2" spans="1:34" s="2" customFormat="1" ht="19.5" customHeight="1" x14ac:dyDescent="0.6">
      <c r="A2" s="63"/>
      <c r="B2" s="65"/>
      <c r="C2" s="55"/>
      <c r="D2" s="55"/>
      <c r="E2" s="55"/>
      <c r="F2" s="55"/>
      <c r="G2" s="68"/>
      <c r="H2" s="68"/>
      <c r="I2" s="55"/>
      <c r="J2" s="55"/>
      <c r="K2" s="59"/>
      <c r="L2" s="20" t="s">
        <v>3</v>
      </c>
      <c r="M2" s="20" t="s">
        <v>7</v>
      </c>
      <c r="N2" s="20" t="s">
        <v>6</v>
      </c>
      <c r="O2" s="20" t="s">
        <v>3</v>
      </c>
      <c r="P2" s="20" t="s">
        <v>7</v>
      </c>
      <c r="Q2" s="20" t="s">
        <v>8</v>
      </c>
      <c r="R2" s="20" t="s">
        <v>3</v>
      </c>
      <c r="S2" s="20" t="s">
        <v>7</v>
      </c>
      <c r="T2" s="20" t="s">
        <v>9</v>
      </c>
      <c r="U2" s="20" t="s">
        <v>3</v>
      </c>
      <c r="V2" s="20" t="s">
        <v>7</v>
      </c>
      <c r="W2" s="20" t="s">
        <v>10</v>
      </c>
      <c r="X2" s="20" t="s">
        <v>3</v>
      </c>
      <c r="Y2" s="20" t="s">
        <v>7</v>
      </c>
      <c r="Z2" s="20" t="s">
        <v>11</v>
      </c>
      <c r="AA2" s="61"/>
      <c r="AB2" s="45" t="s">
        <v>31</v>
      </c>
    </row>
    <row r="3" spans="1:34" x14ac:dyDescent="0.7">
      <c r="A3" s="8">
        <v>0</v>
      </c>
      <c r="B3" s="9">
        <v>19000</v>
      </c>
      <c r="C3" s="10">
        <v>-43.651387410928642</v>
      </c>
      <c r="D3" s="10">
        <f>C3+E3</f>
        <v>-2.7449398433946754</v>
      </c>
      <c r="E3" s="10">
        <v>40.906447567533966</v>
      </c>
      <c r="F3" s="10">
        <f>E3</f>
        <v>40.906447567533966</v>
      </c>
      <c r="G3" s="11" t="s">
        <v>42</v>
      </c>
      <c r="H3" s="51" t="s">
        <v>43</v>
      </c>
      <c r="I3" s="11"/>
      <c r="J3" s="10"/>
      <c r="K3" s="12"/>
      <c r="L3" s="13">
        <v>1.4999260000000001</v>
      </c>
      <c r="M3" s="13">
        <v>2.6471999999999999E-2</v>
      </c>
      <c r="N3" s="13">
        <f>L3*M3</f>
        <v>3.9706041072000001E-2</v>
      </c>
      <c r="O3" s="13">
        <v>1.799882</v>
      </c>
      <c r="P3" s="13">
        <v>1.2130000000000001E-3</v>
      </c>
      <c r="Q3" s="13">
        <f t="shared" ref="Q3:Q66" si="0">O3*P3</f>
        <v>2.1832568660000002E-3</v>
      </c>
      <c r="R3" s="13">
        <v>0.99804300000000001</v>
      </c>
      <c r="S3" s="13">
        <v>2.8249999999999998E-3</v>
      </c>
      <c r="T3" s="13">
        <f>R3*S3</f>
        <v>2.8194714749999999E-3</v>
      </c>
      <c r="U3" s="13">
        <v>1.7998130000000001</v>
      </c>
      <c r="V3" s="13">
        <v>5.653E-3</v>
      </c>
      <c r="W3" s="13">
        <f t="shared" ref="W3:W66" si="1">U3*V3</f>
        <v>1.0174342889000001E-2</v>
      </c>
      <c r="X3" s="13">
        <v>0.99888600000000005</v>
      </c>
      <c r="Y3" s="13">
        <v>3.4763000000000002E-2</v>
      </c>
      <c r="Z3" s="13">
        <f t="shared" ref="Z3:Z66" si="2">X3*Y3</f>
        <v>3.4724274018000004E-2</v>
      </c>
      <c r="AA3" s="15">
        <f t="shared" ref="AA3:AA66" si="3">N3+Q3+T3+W3+Z3</f>
        <v>8.960738632000001E-2</v>
      </c>
      <c r="AB3" s="46">
        <f>AA3-(AE1/1000)</f>
        <v>7.0307386320000012E-2</v>
      </c>
      <c r="AH3" s="31">
        <f>F3-F66</f>
        <v>15.75</v>
      </c>
    </row>
    <row r="4" spans="1:34" x14ac:dyDescent="0.7">
      <c r="A4" s="8">
        <v>1</v>
      </c>
      <c r="B4" s="9">
        <v>19000</v>
      </c>
      <c r="C4" s="10">
        <v>-43.651387410928642</v>
      </c>
      <c r="D4" s="10">
        <f t="shared" ref="D4:D69" si="4">C4+E4</f>
        <v>-2.7590614433946712</v>
      </c>
      <c r="E4" s="10">
        <v>40.892325967533971</v>
      </c>
      <c r="F4" s="10">
        <f>F3-0.25</f>
        <v>40.656447567533966</v>
      </c>
      <c r="G4" s="11" t="s">
        <v>42</v>
      </c>
      <c r="H4" s="51" t="s">
        <v>43</v>
      </c>
      <c r="I4" s="11"/>
      <c r="J4" s="10"/>
      <c r="K4" s="12"/>
      <c r="L4" s="13">
        <v>1.4999260000000001</v>
      </c>
      <c r="M4" s="13">
        <v>2.6477000000000001E-2</v>
      </c>
      <c r="N4" s="13">
        <f t="shared" ref="N4:N66" si="5">L4*M4</f>
        <v>3.9713540702000005E-2</v>
      </c>
      <c r="O4" s="13">
        <v>1.8007169999999999</v>
      </c>
      <c r="P4" s="13">
        <v>1.2130000000000001E-3</v>
      </c>
      <c r="Q4" s="13">
        <f t="shared" si="0"/>
        <v>2.1842697210000001E-3</v>
      </c>
      <c r="R4" s="13">
        <v>0.99804300000000001</v>
      </c>
      <c r="S4" s="13">
        <v>2.8270000000000001E-3</v>
      </c>
      <c r="T4" s="13">
        <f t="shared" ref="T4:T66" si="6">R4*S4</f>
        <v>2.8214675610000002E-3</v>
      </c>
      <c r="U4" s="13">
        <v>1.7998130000000001</v>
      </c>
      <c r="V4" s="13">
        <v>5.646E-3</v>
      </c>
      <c r="W4" s="13">
        <f t="shared" si="1"/>
        <v>1.0161744198E-2</v>
      </c>
      <c r="X4" s="13">
        <v>0.99888600000000005</v>
      </c>
      <c r="Y4" s="13">
        <v>3.4763000000000002E-2</v>
      </c>
      <c r="Z4" s="13">
        <f t="shared" si="2"/>
        <v>3.4724274018000004E-2</v>
      </c>
      <c r="AA4" s="15">
        <f t="shared" si="3"/>
        <v>8.9605296200000004E-2</v>
      </c>
      <c r="AB4" s="46">
        <f t="shared" ref="AB4:AB67" si="7">AA4-(AE2/1000)</f>
        <v>8.9605296200000004E-2</v>
      </c>
      <c r="AH4" s="31">
        <f>E3-E66</f>
        <v>16.901545099999996</v>
      </c>
    </row>
    <row r="5" spans="1:34" x14ac:dyDescent="0.7">
      <c r="A5" s="8">
        <v>2</v>
      </c>
      <c r="B5" s="9">
        <v>19000</v>
      </c>
      <c r="C5" s="10">
        <v>-43.651387410928642</v>
      </c>
      <c r="D5" s="10">
        <f t="shared" si="4"/>
        <v>-2.8001147433946727</v>
      </c>
      <c r="E5" s="10">
        <v>40.851272667533969</v>
      </c>
      <c r="F5" s="10">
        <f t="shared" ref="F5:F66" si="8">F4-0.25</f>
        <v>40.406447567533966</v>
      </c>
      <c r="G5" s="11" t="s">
        <v>42</v>
      </c>
      <c r="H5" s="51" t="s">
        <v>43</v>
      </c>
      <c r="I5" s="11"/>
      <c r="J5" s="10"/>
      <c r="K5" s="12"/>
      <c r="L5" s="13">
        <v>1.4999260000000001</v>
      </c>
      <c r="M5" s="13">
        <v>2.6457999999999999E-2</v>
      </c>
      <c r="N5" s="13">
        <f t="shared" si="5"/>
        <v>3.9685042108000002E-2</v>
      </c>
      <c r="O5" s="13">
        <v>1.8007169999999999</v>
      </c>
      <c r="P5" s="13">
        <v>1.2130000000000001E-3</v>
      </c>
      <c r="Q5" s="13">
        <f t="shared" si="0"/>
        <v>2.1842697210000001E-3</v>
      </c>
      <c r="R5" s="13">
        <v>0.99804300000000001</v>
      </c>
      <c r="S5" s="13">
        <v>2.8279999999999998E-3</v>
      </c>
      <c r="T5" s="13">
        <f t="shared" si="6"/>
        <v>2.8224656039999999E-3</v>
      </c>
      <c r="U5" s="13">
        <v>1.8000130000000001</v>
      </c>
      <c r="V5" s="13">
        <v>5.6519999999999999E-3</v>
      </c>
      <c r="W5" s="13">
        <f t="shared" si="1"/>
        <v>1.0173673476000001E-2</v>
      </c>
      <c r="X5" s="13">
        <v>0.99888600000000005</v>
      </c>
      <c r="Y5" s="13">
        <v>3.4763000000000002E-2</v>
      </c>
      <c r="Z5" s="13">
        <f t="shared" si="2"/>
        <v>3.4724274018000004E-2</v>
      </c>
      <c r="AA5" s="15">
        <f t="shared" si="3"/>
        <v>8.9589724927E-2</v>
      </c>
      <c r="AB5" s="46">
        <f t="shared" si="7"/>
        <v>8.9589724927E-2</v>
      </c>
    </row>
    <row r="6" spans="1:34" x14ac:dyDescent="0.7">
      <c r="A6" s="8">
        <v>3</v>
      </c>
      <c r="B6" s="9">
        <v>19000</v>
      </c>
      <c r="C6" s="10">
        <v>-43.651387410928642</v>
      </c>
      <c r="D6" s="10">
        <f t="shared" si="4"/>
        <v>-2.8521551433946755</v>
      </c>
      <c r="E6" s="10">
        <v>40.799232267533966</v>
      </c>
      <c r="F6" s="10">
        <f t="shared" si="8"/>
        <v>40.156447567533966</v>
      </c>
      <c r="G6" s="11" t="s">
        <v>42</v>
      </c>
      <c r="H6" s="51" t="s">
        <v>43</v>
      </c>
      <c r="I6" s="11"/>
      <c r="J6" s="10"/>
      <c r="K6" s="12"/>
      <c r="L6" s="13">
        <v>1.4999260000000001</v>
      </c>
      <c r="M6" s="13">
        <v>2.6474000000000001E-2</v>
      </c>
      <c r="N6" s="13">
        <f t="shared" si="5"/>
        <v>3.9709040924000003E-2</v>
      </c>
      <c r="O6" s="13">
        <v>1.8007169999999999</v>
      </c>
      <c r="P6" s="13">
        <v>1.2110000000000001E-3</v>
      </c>
      <c r="Q6" s="13">
        <f t="shared" si="0"/>
        <v>2.1806682869999999E-3</v>
      </c>
      <c r="R6" s="13">
        <v>0.99804300000000001</v>
      </c>
      <c r="S6" s="13">
        <v>2.8300000000000001E-3</v>
      </c>
      <c r="T6" s="13">
        <f t="shared" si="6"/>
        <v>2.8244616900000002E-3</v>
      </c>
      <c r="U6" s="13">
        <v>1.8000130000000001</v>
      </c>
      <c r="V6" s="13">
        <v>5.6639999999999998E-3</v>
      </c>
      <c r="W6" s="13">
        <f t="shared" si="1"/>
        <v>1.0195273632E-2</v>
      </c>
      <c r="X6" s="13">
        <v>0.99888600000000005</v>
      </c>
      <c r="Y6" s="13">
        <v>3.4763000000000002E-2</v>
      </c>
      <c r="Z6" s="13">
        <f t="shared" si="2"/>
        <v>3.4724274018000004E-2</v>
      </c>
      <c r="AA6" s="15">
        <f t="shared" si="3"/>
        <v>8.9633718550999997E-2</v>
      </c>
      <c r="AB6" s="46">
        <f t="shared" si="7"/>
        <v>8.9633718550999997E-2</v>
      </c>
    </row>
    <row r="7" spans="1:34" x14ac:dyDescent="0.7">
      <c r="A7" s="8">
        <v>4</v>
      </c>
      <c r="B7" s="9">
        <v>19000</v>
      </c>
      <c r="C7" s="10">
        <v>-43.651387410928642</v>
      </c>
      <c r="D7" s="10">
        <f t="shared" si="4"/>
        <v>-3.3366683433946704</v>
      </c>
      <c r="E7" s="10">
        <v>40.314719067533971</v>
      </c>
      <c r="F7" s="10">
        <f t="shared" si="8"/>
        <v>39.906447567533966</v>
      </c>
      <c r="G7" s="11" t="s">
        <v>42</v>
      </c>
      <c r="H7" s="51" t="s">
        <v>43</v>
      </c>
      <c r="I7" s="11"/>
      <c r="J7" s="10"/>
      <c r="K7" s="12"/>
      <c r="L7" s="13">
        <v>1.4999260000000001</v>
      </c>
      <c r="M7" s="13">
        <v>2.6414E-2</v>
      </c>
      <c r="N7" s="13">
        <f t="shared" si="5"/>
        <v>3.9619045364000002E-2</v>
      </c>
      <c r="O7" s="13">
        <v>1.8007169999999999</v>
      </c>
      <c r="P7" s="13">
        <v>1.212E-3</v>
      </c>
      <c r="Q7" s="13">
        <f t="shared" si="0"/>
        <v>2.1824690039999998E-3</v>
      </c>
      <c r="R7" s="13">
        <v>0.99804300000000001</v>
      </c>
      <c r="S7" s="13">
        <v>2.8289999999999999E-3</v>
      </c>
      <c r="T7" s="13">
        <f t="shared" si="6"/>
        <v>2.823463647E-3</v>
      </c>
      <c r="U7" s="13">
        <v>1.8000130000000001</v>
      </c>
      <c r="V7" s="13">
        <v>5.6499999999999996E-3</v>
      </c>
      <c r="W7" s="13">
        <f t="shared" si="1"/>
        <v>1.0170073449999999E-2</v>
      </c>
      <c r="X7" s="13">
        <v>0.99888600000000005</v>
      </c>
      <c r="Y7" s="13">
        <v>3.4763000000000002E-2</v>
      </c>
      <c r="Z7" s="13">
        <f t="shared" si="2"/>
        <v>3.4724274018000004E-2</v>
      </c>
      <c r="AA7" s="15">
        <f t="shared" si="3"/>
        <v>8.9519325483000012E-2</v>
      </c>
      <c r="AB7" s="46">
        <f t="shared" si="7"/>
        <v>8.9519325483000012E-2</v>
      </c>
    </row>
    <row r="8" spans="1:34" x14ac:dyDescent="0.7">
      <c r="A8" s="8">
        <v>5</v>
      </c>
      <c r="B8" s="9">
        <v>19000</v>
      </c>
      <c r="C8" s="10">
        <v>-43.651387410928642</v>
      </c>
      <c r="D8" s="10">
        <f t="shared" si="4"/>
        <v>-3.3793787433946747</v>
      </c>
      <c r="E8" s="10">
        <v>40.272008667533967</v>
      </c>
      <c r="F8" s="10">
        <f t="shared" si="8"/>
        <v>39.656447567533966</v>
      </c>
      <c r="G8" s="11" t="s">
        <v>42</v>
      </c>
      <c r="H8" s="51" t="s">
        <v>43</v>
      </c>
      <c r="I8" s="11"/>
      <c r="J8" s="10"/>
      <c r="K8" s="12"/>
      <c r="L8" s="13">
        <v>1.4999260000000001</v>
      </c>
      <c r="M8" s="13">
        <v>2.6429999999999999E-2</v>
      </c>
      <c r="N8" s="13">
        <f t="shared" si="5"/>
        <v>3.9643044180000003E-2</v>
      </c>
      <c r="O8" s="13">
        <v>1.8007169999999999</v>
      </c>
      <c r="P8" s="13">
        <v>1.212E-3</v>
      </c>
      <c r="Q8" s="13">
        <f t="shared" si="0"/>
        <v>2.1824690039999998E-3</v>
      </c>
      <c r="R8" s="13">
        <v>0.99804300000000001</v>
      </c>
      <c r="S8" s="13">
        <v>2.8310000000000002E-3</v>
      </c>
      <c r="T8" s="13">
        <f t="shared" si="6"/>
        <v>2.8254597330000003E-3</v>
      </c>
      <c r="U8" s="13">
        <v>1.7998130000000001</v>
      </c>
      <c r="V8" s="13">
        <v>5.6519999999999999E-3</v>
      </c>
      <c r="W8" s="13">
        <f t="shared" si="1"/>
        <v>1.0172543076000001E-2</v>
      </c>
      <c r="X8" s="13">
        <v>0.99888600000000005</v>
      </c>
      <c r="Y8" s="13">
        <v>3.4763000000000002E-2</v>
      </c>
      <c r="Z8" s="13">
        <f t="shared" si="2"/>
        <v>3.4724274018000004E-2</v>
      </c>
      <c r="AA8" s="15">
        <f t="shared" si="3"/>
        <v>8.9547790011000009E-2</v>
      </c>
      <c r="AB8" s="46">
        <f t="shared" si="7"/>
        <v>8.9547790011000009E-2</v>
      </c>
    </row>
    <row r="9" spans="1:34" x14ac:dyDescent="0.7">
      <c r="A9" s="8">
        <v>6</v>
      </c>
      <c r="B9" s="9">
        <v>19000</v>
      </c>
      <c r="C9" s="10">
        <v>-43.651387410928642</v>
      </c>
      <c r="D9" s="10">
        <f t="shared" si="4"/>
        <v>-3.4295414433946689</v>
      </c>
      <c r="E9" s="10">
        <v>40.221845967533973</v>
      </c>
      <c r="F9" s="10">
        <f t="shared" si="8"/>
        <v>39.406447567533966</v>
      </c>
      <c r="G9" s="11" t="s">
        <v>42</v>
      </c>
      <c r="H9" s="51" t="s">
        <v>43</v>
      </c>
      <c r="I9" s="11"/>
      <c r="J9" s="10"/>
      <c r="K9" s="12"/>
      <c r="L9" s="13">
        <v>1.4999260000000001</v>
      </c>
      <c r="M9" s="13">
        <v>2.6407E-2</v>
      </c>
      <c r="N9" s="13">
        <f t="shared" si="5"/>
        <v>3.9608545882000003E-2</v>
      </c>
      <c r="O9" s="13">
        <v>1.8007169999999999</v>
      </c>
      <c r="P9" s="13">
        <v>1.2130000000000001E-3</v>
      </c>
      <c r="Q9" s="13">
        <f t="shared" si="0"/>
        <v>2.1842697210000001E-3</v>
      </c>
      <c r="R9" s="13">
        <v>0.99804300000000001</v>
      </c>
      <c r="S9" s="13">
        <v>2.8310000000000002E-3</v>
      </c>
      <c r="T9" s="13">
        <f t="shared" si="6"/>
        <v>2.8254597330000003E-3</v>
      </c>
      <c r="U9" s="13">
        <v>1.7998130000000001</v>
      </c>
      <c r="V9" s="13">
        <v>5.6550000000000003E-3</v>
      </c>
      <c r="W9" s="13">
        <f t="shared" si="1"/>
        <v>1.0177942515000002E-2</v>
      </c>
      <c r="X9" s="13">
        <v>0.99888600000000005</v>
      </c>
      <c r="Y9" s="13">
        <v>3.4696999999999999E-2</v>
      </c>
      <c r="Z9" s="13">
        <f t="shared" si="2"/>
        <v>3.4658347542E-2</v>
      </c>
      <c r="AA9" s="15">
        <f t="shared" si="3"/>
        <v>8.9454565393000007E-2</v>
      </c>
      <c r="AB9" s="46">
        <f t="shared" si="7"/>
        <v>8.9454565393000007E-2</v>
      </c>
    </row>
    <row r="10" spans="1:34" x14ac:dyDescent="0.7">
      <c r="A10" s="8">
        <v>7</v>
      </c>
      <c r="B10" s="9">
        <v>19000</v>
      </c>
      <c r="C10" s="10">
        <v>-43.651387410928642</v>
      </c>
      <c r="D10" s="10">
        <f t="shared" si="4"/>
        <v>-3.4704288433946715</v>
      </c>
      <c r="E10" s="10">
        <v>40.18095856753397</v>
      </c>
      <c r="F10" s="10">
        <f t="shared" si="8"/>
        <v>39.156447567533966</v>
      </c>
      <c r="G10" s="11" t="s">
        <v>42</v>
      </c>
      <c r="H10" s="51" t="s">
        <v>43</v>
      </c>
      <c r="I10" s="11"/>
      <c r="J10" s="10"/>
      <c r="K10" s="12"/>
      <c r="L10" s="13">
        <v>1.4999260000000001</v>
      </c>
      <c r="M10" s="13">
        <v>2.6405000000000001E-2</v>
      </c>
      <c r="N10" s="13">
        <f t="shared" si="5"/>
        <v>3.9605546030000008E-2</v>
      </c>
      <c r="O10" s="13">
        <v>1.8007169999999999</v>
      </c>
      <c r="P10" s="13">
        <v>1.212E-3</v>
      </c>
      <c r="Q10" s="13">
        <f t="shared" si="0"/>
        <v>2.1824690039999998E-3</v>
      </c>
      <c r="R10" s="13">
        <v>0.99804300000000001</v>
      </c>
      <c r="S10" s="13">
        <v>2.833E-3</v>
      </c>
      <c r="T10" s="13">
        <f t="shared" si="6"/>
        <v>2.8274558190000002E-3</v>
      </c>
      <c r="U10" s="13">
        <v>1.8000130000000001</v>
      </c>
      <c r="V10" s="13">
        <v>5.659E-3</v>
      </c>
      <c r="W10" s="13">
        <f t="shared" si="1"/>
        <v>1.0186273567E-2</v>
      </c>
      <c r="X10" s="13">
        <v>0.99888600000000005</v>
      </c>
      <c r="Y10" s="13">
        <v>3.4763000000000002E-2</v>
      </c>
      <c r="Z10" s="13">
        <f t="shared" si="2"/>
        <v>3.4724274018000004E-2</v>
      </c>
      <c r="AA10" s="15">
        <f t="shared" si="3"/>
        <v>8.952601843800001E-2</v>
      </c>
      <c r="AB10" s="46">
        <f t="shared" si="7"/>
        <v>8.952601843800001E-2</v>
      </c>
    </row>
    <row r="11" spans="1:34" x14ac:dyDescent="0.7">
      <c r="A11" s="8">
        <v>8</v>
      </c>
      <c r="B11" s="9">
        <v>19000</v>
      </c>
      <c r="C11" s="10">
        <v>-43.651387410928642</v>
      </c>
      <c r="D11" s="10">
        <f t="shared" si="4"/>
        <v>-4.7402105433946744</v>
      </c>
      <c r="E11" s="10">
        <v>38.911176867533968</v>
      </c>
      <c r="F11" s="10">
        <f t="shared" si="8"/>
        <v>38.906447567533966</v>
      </c>
      <c r="G11" s="11" t="s">
        <v>42</v>
      </c>
      <c r="H11" s="51" t="s">
        <v>43</v>
      </c>
      <c r="I11" s="11"/>
      <c r="J11" s="10"/>
      <c r="K11" s="12"/>
      <c r="L11" s="13">
        <v>1.4999260000000001</v>
      </c>
      <c r="M11" s="13">
        <v>2.6308000000000002E-2</v>
      </c>
      <c r="N11" s="13">
        <f t="shared" si="5"/>
        <v>3.9460053208000008E-2</v>
      </c>
      <c r="O11" s="13">
        <v>1.8007169999999999</v>
      </c>
      <c r="P11" s="13">
        <v>1.2130000000000001E-3</v>
      </c>
      <c r="Q11" s="13">
        <f t="shared" si="0"/>
        <v>2.1842697210000001E-3</v>
      </c>
      <c r="R11" s="13">
        <v>0.99804300000000001</v>
      </c>
      <c r="S11" s="13">
        <v>2.8219999999999999E-3</v>
      </c>
      <c r="T11" s="13">
        <f t="shared" si="6"/>
        <v>2.8164773459999999E-3</v>
      </c>
      <c r="U11" s="13">
        <v>1.7998130000000001</v>
      </c>
      <c r="V11" s="13">
        <v>5.6550000000000003E-3</v>
      </c>
      <c r="W11" s="13">
        <f t="shared" si="1"/>
        <v>1.0177942515000002E-2</v>
      </c>
      <c r="X11" s="13">
        <v>0.99888600000000005</v>
      </c>
      <c r="Y11" s="13">
        <v>3.4763000000000002E-2</v>
      </c>
      <c r="Z11" s="13">
        <f t="shared" si="2"/>
        <v>3.4724274018000004E-2</v>
      </c>
      <c r="AA11" s="15">
        <f t="shared" si="3"/>
        <v>8.9363016808000018E-2</v>
      </c>
      <c r="AB11" s="46">
        <f t="shared" si="7"/>
        <v>8.9363016808000018E-2</v>
      </c>
    </row>
    <row r="12" spans="1:34" x14ac:dyDescent="0.7">
      <c r="A12" s="8">
        <v>9</v>
      </c>
      <c r="B12" s="9">
        <v>19000</v>
      </c>
      <c r="C12" s="10">
        <v>-43.651387410928642</v>
      </c>
      <c r="D12" s="10">
        <f t="shared" si="4"/>
        <v>-4.7820478433946718</v>
      </c>
      <c r="E12" s="10">
        <v>38.86933956753397</v>
      </c>
      <c r="F12" s="10">
        <f t="shared" si="8"/>
        <v>38.656447567533966</v>
      </c>
      <c r="G12" s="11" t="s">
        <v>42</v>
      </c>
      <c r="H12" s="51" t="s">
        <v>43</v>
      </c>
      <c r="I12" s="11"/>
      <c r="J12" s="10"/>
      <c r="K12" s="12"/>
      <c r="L12" s="13">
        <v>1.5001260000000001</v>
      </c>
      <c r="M12" s="13">
        <v>2.6303E-2</v>
      </c>
      <c r="N12" s="13">
        <f t="shared" si="5"/>
        <v>3.9457814178000004E-2</v>
      </c>
      <c r="O12" s="13">
        <v>1.8007169999999999</v>
      </c>
      <c r="P12" s="13">
        <v>1.2130000000000001E-3</v>
      </c>
      <c r="Q12" s="13">
        <f t="shared" si="0"/>
        <v>2.1842697210000001E-3</v>
      </c>
      <c r="R12" s="13">
        <v>0.99804300000000001</v>
      </c>
      <c r="S12" s="13">
        <v>2.8240000000000001E-3</v>
      </c>
      <c r="T12" s="13">
        <f t="shared" si="6"/>
        <v>2.8184734320000002E-3</v>
      </c>
      <c r="U12" s="13">
        <v>1.7998130000000001</v>
      </c>
      <c r="V12" s="13">
        <v>5.6639999999999998E-3</v>
      </c>
      <c r="W12" s="13">
        <f t="shared" si="1"/>
        <v>1.0194140832000001E-2</v>
      </c>
      <c r="X12" s="13">
        <v>0.99805100000000002</v>
      </c>
      <c r="Y12" s="13">
        <v>3.4763000000000002E-2</v>
      </c>
      <c r="Z12" s="13">
        <f t="shared" si="2"/>
        <v>3.4695246913000001E-2</v>
      </c>
      <c r="AA12" s="15">
        <f t="shared" si="3"/>
        <v>8.9349945075999998E-2</v>
      </c>
      <c r="AB12" s="46">
        <f t="shared" si="7"/>
        <v>8.9349945075999998E-2</v>
      </c>
    </row>
    <row r="13" spans="1:34" x14ac:dyDescent="0.7">
      <c r="A13" s="8">
        <v>10</v>
      </c>
      <c r="B13" s="9">
        <v>19000</v>
      </c>
      <c r="C13" s="10">
        <v>-43.651387410928642</v>
      </c>
      <c r="D13" s="10">
        <f t="shared" si="4"/>
        <v>-4.8315684433946586</v>
      </c>
      <c r="E13" s="10">
        <v>38.819818967533983</v>
      </c>
      <c r="F13" s="10">
        <f t="shared" si="8"/>
        <v>38.406447567533966</v>
      </c>
      <c r="G13" s="11" t="s">
        <v>42</v>
      </c>
      <c r="H13" s="51" t="s">
        <v>43</v>
      </c>
      <c r="I13" s="11"/>
      <c r="J13" s="10"/>
      <c r="K13" s="12"/>
      <c r="L13" s="13">
        <v>1.4999260000000001</v>
      </c>
      <c r="M13" s="13">
        <v>2.6318999999999999E-2</v>
      </c>
      <c r="N13" s="13">
        <f t="shared" si="5"/>
        <v>3.9476552393999997E-2</v>
      </c>
      <c r="O13" s="13">
        <v>1.8007169999999999</v>
      </c>
      <c r="P13" s="13">
        <v>1.2130000000000001E-3</v>
      </c>
      <c r="Q13" s="13">
        <f t="shared" si="0"/>
        <v>2.1842697210000001E-3</v>
      </c>
      <c r="R13" s="13">
        <v>0.99804300000000001</v>
      </c>
      <c r="S13" s="13">
        <v>2.8240000000000001E-3</v>
      </c>
      <c r="T13" s="13">
        <f t="shared" si="6"/>
        <v>2.8184734320000002E-3</v>
      </c>
      <c r="U13" s="13">
        <v>1.8000130000000001</v>
      </c>
      <c r="V13" s="13">
        <v>5.6569999999999997E-3</v>
      </c>
      <c r="W13" s="13">
        <f t="shared" si="1"/>
        <v>1.0182673541E-2</v>
      </c>
      <c r="X13" s="13">
        <v>0.99888600000000005</v>
      </c>
      <c r="Y13" s="13">
        <v>3.4696999999999999E-2</v>
      </c>
      <c r="Z13" s="13">
        <f t="shared" si="2"/>
        <v>3.4658347542E-2</v>
      </c>
      <c r="AA13" s="15">
        <f t="shared" si="3"/>
        <v>8.9320316629999993E-2</v>
      </c>
      <c r="AB13" s="46">
        <f t="shared" si="7"/>
        <v>8.9320316629999993E-2</v>
      </c>
    </row>
    <row r="14" spans="1:34" x14ac:dyDescent="0.7">
      <c r="A14" s="8">
        <v>11</v>
      </c>
      <c r="B14" s="9">
        <v>19000</v>
      </c>
      <c r="C14" s="10">
        <v>-43.651387410928642</v>
      </c>
      <c r="D14" s="10">
        <f t="shared" si="4"/>
        <v>-4.8941754433946585</v>
      </c>
      <c r="E14" s="10">
        <v>38.757211967533983</v>
      </c>
      <c r="F14" s="10">
        <f t="shared" si="8"/>
        <v>38.156447567533966</v>
      </c>
      <c r="G14" s="11" t="s">
        <v>42</v>
      </c>
      <c r="H14" s="51" t="s">
        <v>43</v>
      </c>
      <c r="I14" s="11"/>
      <c r="J14" s="10"/>
      <c r="K14" s="12"/>
      <c r="L14" s="13">
        <v>1.4999260000000001</v>
      </c>
      <c r="M14" s="13">
        <v>2.6301000000000001E-2</v>
      </c>
      <c r="N14" s="13">
        <f t="shared" si="5"/>
        <v>3.9449553726000001E-2</v>
      </c>
      <c r="O14" s="13">
        <v>1.799882</v>
      </c>
      <c r="P14" s="13">
        <v>1.2130000000000001E-3</v>
      </c>
      <c r="Q14" s="13">
        <f t="shared" si="0"/>
        <v>2.1832568660000002E-3</v>
      </c>
      <c r="R14" s="13">
        <v>0.99804300000000001</v>
      </c>
      <c r="S14" s="13">
        <v>2.826E-3</v>
      </c>
      <c r="T14" s="13">
        <f t="shared" si="6"/>
        <v>2.820469518E-3</v>
      </c>
      <c r="U14" s="13">
        <v>1.7998130000000001</v>
      </c>
      <c r="V14" s="13">
        <v>5.6550000000000003E-3</v>
      </c>
      <c r="W14" s="13">
        <f t="shared" si="1"/>
        <v>1.0177942515000002E-2</v>
      </c>
      <c r="X14" s="13">
        <v>0.99888600000000005</v>
      </c>
      <c r="Y14" s="13">
        <v>3.4763000000000002E-2</v>
      </c>
      <c r="Z14" s="13">
        <f t="shared" si="2"/>
        <v>3.4724274018000004E-2</v>
      </c>
      <c r="AA14" s="15">
        <f t="shared" si="3"/>
        <v>8.9355496643000021E-2</v>
      </c>
      <c r="AB14" s="46">
        <f t="shared" si="7"/>
        <v>8.9355496643000021E-2</v>
      </c>
    </row>
    <row r="15" spans="1:34" x14ac:dyDescent="0.7">
      <c r="A15" s="8">
        <v>12</v>
      </c>
      <c r="B15" s="9">
        <v>19000</v>
      </c>
      <c r="C15" s="10">
        <v>-43.651387410928642</v>
      </c>
      <c r="D15" s="10">
        <f t="shared" si="4"/>
        <v>-5.5410536433946689</v>
      </c>
      <c r="E15" s="10">
        <v>38.110333767533973</v>
      </c>
      <c r="F15" s="10">
        <f t="shared" si="8"/>
        <v>37.906447567533966</v>
      </c>
      <c r="G15" s="11" t="s">
        <v>42</v>
      </c>
      <c r="H15" s="51" t="s">
        <v>43</v>
      </c>
      <c r="I15" s="11"/>
      <c r="J15" s="10"/>
      <c r="K15" s="12"/>
      <c r="L15" s="13">
        <v>1.4999260000000001</v>
      </c>
      <c r="M15" s="13">
        <v>2.6266999999999999E-2</v>
      </c>
      <c r="N15" s="13">
        <f t="shared" si="5"/>
        <v>3.9398556241999998E-2</v>
      </c>
      <c r="O15" s="13">
        <v>1.8007169999999999</v>
      </c>
      <c r="P15" s="13">
        <v>1.2130000000000001E-3</v>
      </c>
      <c r="Q15" s="13">
        <f t="shared" si="0"/>
        <v>2.1842697210000001E-3</v>
      </c>
      <c r="R15" s="13">
        <v>0.99804300000000001</v>
      </c>
      <c r="S15" s="13">
        <v>2.8249999999999998E-3</v>
      </c>
      <c r="T15" s="13">
        <f t="shared" si="6"/>
        <v>2.8194714749999999E-3</v>
      </c>
      <c r="U15" s="13">
        <v>1.7998130000000001</v>
      </c>
      <c r="V15" s="13">
        <v>5.646E-3</v>
      </c>
      <c r="W15" s="13">
        <f t="shared" si="1"/>
        <v>1.0161744198E-2</v>
      </c>
      <c r="X15" s="13">
        <v>0.99888600000000005</v>
      </c>
      <c r="Y15" s="13">
        <v>3.4763000000000002E-2</v>
      </c>
      <c r="Z15" s="13">
        <f t="shared" si="2"/>
        <v>3.4724274018000004E-2</v>
      </c>
      <c r="AA15" s="15">
        <f t="shared" si="3"/>
        <v>8.9288315654E-2</v>
      </c>
      <c r="AB15" s="46">
        <f t="shared" si="7"/>
        <v>8.9288315654E-2</v>
      </c>
    </row>
    <row r="16" spans="1:34" x14ac:dyDescent="0.7">
      <c r="A16" s="8">
        <v>13</v>
      </c>
      <c r="B16" s="9">
        <v>19000</v>
      </c>
      <c r="C16" s="10">
        <v>-43.651387410928642</v>
      </c>
      <c r="D16" s="10">
        <f t="shared" si="4"/>
        <v>-5.5791202433946694</v>
      </c>
      <c r="E16" s="10">
        <v>38.072267167533973</v>
      </c>
      <c r="F16" s="10">
        <f t="shared" si="8"/>
        <v>37.656447567533966</v>
      </c>
      <c r="G16" s="11" t="s">
        <v>42</v>
      </c>
      <c r="H16" s="51" t="s">
        <v>43</v>
      </c>
      <c r="I16" s="11"/>
      <c r="J16" s="10"/>
      <c r="K16" s="12"/>
      <c r="L16" s="13">
        <v>1.4999260000000001</v>
      </c>
      <c r="M16" s="13">
        <v>2.6280999999999999E-2</v>
      </c>
      <c r="N16" s="13">
        <f t="shared" si="5"/>
        <v>3.9419555206000004E-2</v>
      </c>
      <c r="O16" s="13">
        <v>1.8007169999999999</v>
      </c>
      <c r="P16" s="13">
        <v>1.2130000000000001E-3</v>
      </c>
      <c r="Q16" s="13">
        <f t="shared" si="0"/>
        <v>2.1842697210000001E-3</v>
      </c>
      <c r="R16" s="13">
        <v>0.99804300000000001</v>
      </c>
      <c r="S16" s="13">
        <v>2.826E-3</v>
      </c>
      <c r="T16" s="13">
        <f t="shared" si="6"/>
        <v>2.820469518E-3</v>
      </c>
      <c r="U16" s="13">
        <v>1.7998130000000001</v>
      </c>
      <c r="V16" s="13">
        <v>5.6480000000000002E-3</v>
      </c>
      <c r="W16" s="13">
        <f t="shared" si="1"/>
        <v>1.0165343824E-2</v>
      </c>
      <c r="X16" s="13">
        <v>0.99888600000000005</v>
      </c>
      <c r="Y16" s="13">
        <v>3.4696999999999999E-2</v>
      </c>
      <c r="Z16" s="13">
        <f t="shared" si="2"/>
        <v>3.4658347542E-2</v>
      </c>
      <c r="AA16" s="15">
        <f t="shared" si="3"/>
        <v>8.9247985811000005E-2</v>
      </c>
      <c r="AB16" s="46">
        <f t="shared" si="7"/>
        <v>8.9247985811000005E-2</v>
      </c>
    </row>
    <row r="17" spans="1:28" x14ac:dyDescent="0.7">
      <c r="A17" s="8">
        <v>14</v>
      </c>
      <c r="B17" s="9">
        <v>19000</v>
      </c>
      <c r="C17" s="10">
        <v>-43.651387410928642</v>
      </c>
      <c r="D17" s="10">
        <f t="shared" si="4"/>
        <v>-5.6333618433946739</v>
      </c>
      <c r="E17" s="10">
        <v>38.018025567533968</v>
      </c>
      <c r="F17" s="10">
        <f t="shared" si="8"/>
        <v>37.406447567533966</v>
      </c>
      <c r="G17" s="11" t="s">
        <v>42</v>
      </c>
      <c r="H17" s="51" t="s">
        <v>43</v>
      </c>
      <c r="I17" s="11"/>
      <c r="J17" s="10"/>
      <c r="K17" s="12"/>
      <c r="L17" s="13">
        <v>1.4999260000000001</v>
      </c>
      <c r="M17" s="13">
        <v>2.6280999999999999E-2</v>
      </c>
      <c r="N17" s="13">
        <f t="shared" si="5"/>
        <v>3.9419555206000004E-2</v>
      </c>
      <c r="O17" s="13">
        <v>1.799882</v>
      </c>
      <c r="P17" s="13">
        <v>1.2130000000000001E-3</v>
      </c>
      <c r="Q17" s="13">
        <f t="shared" si="0"/>
        <v>2.1832568660000002E-3</v>
      </c>
      <c r="R17" s="13">
        <v>0.99804300000000001</v>
      </c>
      <c r="S17" s="13">
        <v>2.8270000000000001E-3</v>
      </c>
      <c r="T17" s="13">
        <f t="shared" si="6"/>
        <v>2.8214675610000002E-3</v>
      </c>
      <c r="U17" s="13">
        <v>1.8000130000000001</v>
      </c>
      <c r="V17" s="13">
        <v>5.6499999999999996E-3</v>
      </c>
      <c r="W17" s="13">
        <f t="shared" si="1"/>
        <v>1.0170073449999999E-2</v>
      </c>
      <c r="X17" s="13">
        <v>0.99888600000000005</v>
      </c>
      <c r="Y17" s="13">
        <v>3.4763000000000002E-2</v>
      </c>
      <c r="Z17" s="13">
        <f t="shared" si="2"/>
        <v>3.4724274018000004E-2</v>
      </c>
      <c r="AA17" s="15">
        <f t="shared" si="3"/>
        <v>8.9318627100999998E-2</v>
      </c>
      <c r="AB17" s="46">
        <f t="shared" si="7"/>
        <v>8.9318627100999998E-2</v>
      </c>
    </row>
    <row r="18" spans="1:28" x14ac:dyDescent="0.7">
      <c r="A18" s="8">
        <v>15</v>
      </c>
      <c r="B18" s="9">
        <v>19000</v>
      </c>
      <c r="C18" s="10">
        <v>-43.651387410928642</v>
      </c>
      <c r="D18" s="10">
        <f t="shared" si="4"/>
        <v>-5.6883118433946649</v>
      </c>
      <c r="E18" s="10">
        <v>37.963075567533977</v>
      </c>
      <c r="F18" s="10">
        <f t="shared" si="8"/>
        <v>37.156447567533966</v>
      </c>
      <c r="G18" s="11" t="s">
        <v>42</v>
      </c>
      <c r="H18" s="51" t="s">
        <v>43</v>
      </c>
      <c r="I18" s="11"/>
      <c r="J18" s="10"/>
      <c r="K18" s="12"/>
      <c r="L18" s="13">
        <v>1.4999260000000001</v>
      </c>
      <c r="M18" s="13">
        <v>2.6245999999999998E-2</v>
      </c>
      <c r="N18" s="13">
        <f t="shared" si="5"/>
        <v>3.9367057795999999E-2</v>
      </c>
      <c r="O18" s="13">
        <v>1.8007169999999999</v>
      </c>
      <c r="P18" s="13">
        <v>1.2130000000000001E-3</v>
      </c>
      <c r="Q18" s="13">
        <f t="shared" si="0"/>
        <v>2.1842697210000001E-3</v>
      </c>
      <c r="R18" s="13">
        <v>0.99804300000000001</v>
      </c>
      <c r="S18" s="13">
        <v>2.8279999999999998E-3</v>
      </c>
      <c r="T18" s="13">
        <f t="shared" si="6"/>
        <v>2.8224656039999999E-3</v>
      </c>
      <c r="U18" s="13">
        <v>1.7998130000000001</v>
      </c>
      <c r="V18" s="13">
        <v>5.6519999999999999E-3</v>
      </c>
      <c r="W18" s="13">
        <f t="shared" si="1"/>
        <v>1.0172543076000001E-2</v>
      </c>
      <c r="X18" s="13">
        <v>0.99888600000000005</v>
      </c>
      <c r="Y18" s="13">
        <v>3.4763000000000002E-2</v>
      </c>
      <c r="Z18" s="13">
        <f t="shared" si="2"/>
        <v>3.4724274018000004E-2</v>
      </c>
      <c r="AA18" s="15">
        <f t="shared" si="3"/>
        <v>8.9270610215000004E-2</v>
      </c>
      <c r="AB18" s="46">
        <f t="shared" si="7"/>
        <v>8.9270610215000004E-2</v>
      </c>
    </row>
    <row r="19" spans="1:28" x14ac:dyDescent="0.7">
      <c r="A19" s="8">
        <v>16</v>
      </c>
      <c r="B19" s="9">
        <v>19000</v>
      </c>
      <c r="C19" s="10">
        <v>-43.651387410928642</v>
      </c>
      <c r="D19" s="10">
        <f t="shared" si="4"/>
        <v>-6.9607922433946712</v>
      </c>
      <c r="E19" s="10">
        <v>36.690595167533971</v>
      </c>
      <c r="F19" s="10">
        <f t="shared" si="8"/>
        <v>36.906447567533966</v>
      </c>
      <c r="G19" s="11" t="s">
        <v>42</v>
      </c>
      <c r="H19" s="51" t="s">
        <v>43</v>
      </c>
      <c r="I19" s="11"/>
      <c r="J19" s="10"/>
      <c r="K19" s="12"/>
      <c r="L19" s="13">
        <v>1.4999260000000001</v>
      </c>
      <c r="M19" s="13">
        <v>2.6204000000000002E-2</v>
      </c>
      <c r="N19" s="13">
        <f t="shared" si="5"/>
        <v>3.9304060904000002E-2</v>
      </c>
      <c r="O19" s="13">
        <v>1.8007169999999999</v>
      </c>
      <c r="P19" s="13">
        <v>1.2130000000000001E-3</v>
      </c>
      <c r="Q19" s="13">
        <f t="shared" si="0"/>
        <v>2.1842697210000001E-3</v>
      </c>
      <c r="R19" s="13">
        <v>0.99804300000000001</v>
      </c>
      <c r="S19" s="13">
        <v>2.8240000000000001E-3</v>
      </c>
      <c r="T19" s="13">
        <f t="shared" si="6"/>
        <v>2.8184734320000002E-3</v>
      </c>
      <c r="U19" s="13">
        <v>1.7998130000000001</v>
      </c>
      <c r="V19" s="13">
        <v>5.646E-3</v>
      </c>
      <c r="W19" s="13">
        <f t="shared" si="1"/>
        <v>1.0161744198E-2</v>
      </c>
      <c r="X19" s="13">
        <v>0.99888600000000005</v>
      </c>
      <c r="Y19" s="13">
        <v>3.4763000000000002E-2</v>
      </c>
      <c r="Z19" s="13">
        <f t="shared" si="2"/>
        <v>3.4724274018000004E-2</v>
      </c>
      <c r="AA19" s="15">
        <f t="shared" si="3"/>
        <v>8.9192822273000003E-2</v>
      </c>
      <c r="AB19" s="46">
        <f t="shared" si="7"/>
        <v>8.9192822273000003E-2</v>
      </c>
    </row>
    <row r="20" spans="1:28" x14ac:dyDescent="0.7">
      <c r="A20" s="8">
        <v>17</v>
      </c>
      <c r="B20" s="9">
        <v>19000</v>
      </c>
      <c r="C20" s="10">
        <v>-43.651387410928642</v>
      </c>
      <c r="D20" s="10">
        <f t="shared" si="4"/>
        <v>-7.0201793433946591</v>
      </c>
      <c r="E20" s="10">
        <v>36.631208067533983</v>
      </c>
      <c r="F20" s="10">
        <f t="shared" si="8"/>
        <v>36.656447567533966</v>
      </c>
      <c r="G20" s="11" t="s">
        <v>42</v>
      </c>
      <c r="H20" s="51" t="s">
        <v>43</v>
      </c>
      <c r="I20" s="11"/>
      <c r="J20" s="10"/>
      <c r="K20" s="12"/>
      <c r="L20" s="13">
        <v>1.4999260000000001</v>
      </c>
      <c r="M20" s="13">
        <v>2.6195E-2</v>
      </c>
      <c r="N20" s="13">
        <f t="shared" si="5"/>
        <v>3.929056157E-2</v>
      </c>
      <c r="O20" s="13">
        <v>1.8007169999999999</v>
      </c>
      <c r="P20" s="13">
        <v>1.2130000000000001E-3</v>
      </c>
      <c r="Q20" s="13">
        <f t="shared" si="0"/>
        <v>2.1842697210000001E-3</v>
      </c>
      <c r="R20" s="13">
        <v>0.99804300000000001</v>
      </c>
      <c r="S20" s="13">
        <v>2.8249999999999998E-3</v>
      </c>
      <c r="T20" s="13">
        <f t="shared" si="6"/>
        <v>2.8194714749999999E-3</v>
      </c>
      <c r="U20" s="13">
        <v>1.7998130000000001</v>
      </c>
      <c r="V20" s="13">
        <v>5.6499999999999996E-3</v>
      </c>
      <c r="W20" s="13">
        <f t="shared" si="1"/>
        <v>1.0168943450000001E-2</v>
      </c>
      <c r="X20" s="13">
        <v>0.99805100000000002</v>
      </c>
      <c r="Y20" s="13">
        <v>3.4763000000000002E-2</v>
      </c>
      <c r="Z20" s="13">
        <f t="shared" si="2"/>
        <v>3.4695246913000001E-2</v>
      </c>
      <c r="AA20" s="15">
        <f t="shared" si="3"/>
        <v>8.915849312900001E-2</v>
      </c>
      <c r="AB20" s="46">
        <f t="shared" si="7"/>
        <v>8.915849312900001E-2</v>
      </c>
    </row>
    <row r="21" spans="1:28" x14ac:dyDescent="0.7">
      <c r="A21" s="8">
        <v>18</v>
      </c>
      <c r="B21" s="9">
        <v>19000</v>
      </c>
      <c r="C21" s="10">
        <v>-43.651387410928642</v>
      </c>
      <c r="D21" s="10">
        <f t="shared" si="4"/>
        <v>-7.0778531433946696</v>
      </c>
      <c r="E21" s="10">
        <v>36.573534267533972</v>
      </c>
      <c r="F21" s="10">
        <f t="shared" si="8"/>
        <v>36.406447567533966</v>
      </c>
      <c r="G21" s="11" t="s">
        <v>42</v>
      </c>
      <c r="H21" s="51" t="s">
        <v>43</v>
      </c>
      <c r="I21" s="11"/>
      <c r="J21" s="10"/>
      <c r="K21" s="12"/>
      <c r="L21" s="13">
        <v>1.4999260000000001</v>
      </c>
      <c r="M21" s="13">
        <v>2.6197000000000002E-2</v>
      </c>
      <c r="N21" s="13">
        <f t="shared" si="5"/>
        <v>3.9293561422000002E-2</v>
      </c>
      <c r="O21" s="13">
        <v>1.8007169999999999</v>
      </c>
      <c r="P21" s="13">
        <v>1.2130000000000001E-3</v>
      </c>
      <c r="Q21" s="13">
        <f t="shared" si="0"/>
        <v>2.1842697210000001E-3</v>
      </c>
      <c r="R21" s="13">
        <v>0.99804300000000001</v>
      </c>
      <c r="S21" s="13">
        <v>2.826E-3</v>
      </c>
      <c r="T21" s="13">
        <f t="shared" si="6"/>
        <v>2.820469518E-3</v>
      </c>
      <c r="U21" s="13">
        <v>1.7998130000000001</v>
      </c>
      <c r="V21" s="13">
        <v>5.6519999999999999E-3</v>
      </c>
      <c r="W21" s="13">
        <f t="shared" si="1"/>
        <v>1.0172543076000001E-2</v>
      </c>
      <c r="X21" s="13">
        <v>0.99888600000000005</v>
      </c>
      <c r="Y21" s="13">
        <v>3.4696999999999999E-2</v>
      </c>
      <c r="Z21" s="13">
        <f t="shared" si="2"/>
        <v>3.4658347542E-2</v>
      </c>
      <c r="AA21" s="15">
        <f t="shared" si="3"/>
        <v>8.9129191279000014E-2</v>
      </c>
      <c r="AB21" s="46">
        <f t="shared" si="7"/>
        <v>8.9129191279000014E-2</v>
      </c>
    </row>
    <row r="22" spans="1:28" x14ac:dyDescent="0.7">
      <c r="A22" s="8">
        <v>19</v>
      </c>
      <c r="B22" s="9">
        <v>19000</v>
      </c>
      <c r="C22" s="10">
        <v>-43.651387410928642</v>
      </c>
      <c r="D22" s="10">
        <f t="shared" si="4"/>
        <v>-7.1333628433946714</v>
      </c>
      <c r="E22" s="10">
        <v>36.518024567533971</v>
      </c>
      <c r="F22" s="10">
        <f t="shared" si="8"/>
        <v>36.156447567533966</v>
      </c>
      <c r="G22" s="11" t="s">
        <v>42</v>
      </c>
      <c r="H22" s="51" t="s">
        <v>43</v>
      </c>
      <c r="I22" s="11"/>
      <c r="J22" s="10"/>
      <c r="K22" s="12"/>
      <c r="L22" s="13">
        <v>1.4999260000000001</v>
      </c>
      <c r="M22" s="13">
        <v>2.6192E-2</v>
      </c>
      <c r="N22" s="13">
        <f t="shared" si="5"/>
        <v>3.9286061792000004E-2</v>
      </c>
      <c r="O22" s="13">
        <v>1.8007169999999999</v>
      </c>
      <c r="P22" s="13">
        <v>1.2130000000000001E-3</v>
      </c>
      <c r="Q22" s="13">
        <f t="shared" si="0"/>
        <v>2.1842697210000001E-3</v>
      </c>
      <c r="R22" s="13">
        <v>0.99804300000000001</v>
      </c>
      <c r="S22" s="13">
        <v>2.8289999999999999E-3</v>
      </c>
      <c r="T22" s="13">
        <f t="shared" si="6"/>
        <v>2.823463647E-3</v>
      </c>
      <c r="U22" s="13">
        <v>1.7998130000000001</v>
      </c>
      <c r="V22" s="13">
        <v>5.6499999999999996E-3</v>
      </c>
      <c r="W22" s="13">
        <f t="shared" si="1"/>
        <v>1.0168943450000001E-2</v>
      </c>
      <c r="X22" s="13">
        <v>0.99888600000000005</v>
      </c>
      <c r="Y22" s="13">
        <v>3.4696999999999999E-2</v>
      </c>
      <c r="Z22" s="13">
        <f t="shared" si="2"/>
        <v>3.4658347542E-2</v>
      </c>
      <c r="AA22" s="15">
        <f t="shared" si="3"/>
        <v>8.9121086152000012E-2</v>
      </c>
      <c r="AB22" s="46">
        <f t="shared" si="7"/>
        <v>8.9121086152000012E-2</v>
      </c>
    </row>
    <row r="23" spans="1:28" x14ac:dyDescent="0.7">
      <c r="A23" s="8">
        <v>20</v>
      </c>
      <c r="B23" s="9">
        <v>19000</v>
      </c>
      <c r="C23" s="10">
        <v>-43.651387410928642</v>
      </c>
      <c r="D23" s="10">
        <f t="shared" si="4"/>
        <v>-7.8959404433946716</v>
      </c>
      <c r="E23" s="10">
        <v>35.75544696753397</v>
      </c>
      <c r="F23" s="10">
        <f t="shared" si="8"/>
        <v>35.906447567533966</v>
      </c>
      <c r="G23" s="11" t="s">
        <v>42</v>
      </c>
      <c r="H23" s="51" t="s">
        <v>43</v>
      </c>
      <c r="I23" s="11"/>
      <c r="J23" s="10"/>
      <c r="K23" s="12"/>
      <c r="L23" s="13">
        <v>1.4999260000000001</v>
      </c>
      <c r="M23" s="13">
        <v>2.6162000000000001E-2</v>
      </c>
      <c r="N23" s="13">
        <f t="shared" si="5"/>
        <v>3.9241064012000004E-2</v>
      </c>
      <c r="O23" s="13">
        <v>1.8007169999999999</v>
      </c>
      <c r="P23" s="13">
        <v>1.2130000000000001E-3</v>
      </c>
      <c r="Q23" s="13">
        <f t="shared" si="0"/>
        <v>2.1842697210000001E-3</v>
      </c>
      <c r="R23" s="13">
        <v>0.99804300000000001</v>
      </c>
      <c r="S23" s="13">
        <v>2.826E-3</v>
      </c>
      <c r="T23" s="13">
        <f t="shared" si="6"/>
        <v>2.820469518E-3</v>
      </c>
      <c r="U23" s="13">
        <v>1.7998130000000001</v>
      </c>
      <c r="V23" s="13">
        <v>5.6480000000000002E-3</v>
      </c>
      <c r="W23" s="13">
        <f t="shared" si="1"/>
        <v>1.0165343824E-2</v>
      </c>
      <c r="X23" s="13">
        <v>0.99888600000000005</v>
      </c>
      <c r="Y23" s="13">
        <v>3.4763000000000002E-2</v>
      </c>
      <c r="Z23" s="13">
        <f t="shared" si="2"/>
        <v>3.4724274018000004E-2</v>
      </c>
      <c r="AA23" s="15">
        <f t="shared" si="3"/>
        <v>8.9135421093000017E-2</v>
      </c>
      <c r="AB23" s="46">
        <f t="shared" si="7"/>
        <v>8.9135421093000017E-2</v>
      </c>
    </row>
    <row r="24" spans="1:28" x14ac:dyDescent="0.7">
      <c r="A24" s="8">
        <v>21</v>
      </c>
      <c r="B24" s="9">
        <v>19000</v>
      </c>
      <c r="C24" s="10">
        <v>-43.651387410928642</v>
      </c>
      <c r="D24" s="10">
        <f t="shared" si="4"/>
        <v>-7.962685443394669</v>
      </c>
      <c r="E24" s="10">
        <v>35.688701967533973</v>
      </c>
      <c r="F24" s="10">
        <f t="shared" si="8"/>
        <v>35.656447567533966</v>
      </c>
      <c r="G24" s="11" t="s">
        <v>42</v>
      </c>
      <c r="H24" s="51" t="s">
        <v>43</v>
      </c>
      <c r="I24" s="29"/>
      <c r="J24" s="10"/>
      <c r="K24" s="12"/>
      <c r="L24" s="13">
        <v>1.5001260000000001</v>
      </c>
      <c r="M24" s="13">
        <v>2.6158000000000001E-2</v>
      </c>
      <c r="N24" s="13">
        <f t="shared" si="5"/>
        <v>3.9240295908000003E-2</v>
      </c>
      <c r="O24" s="13">
        <v>1.8007169999999999</v>
      </c>
      <c r="P24" s="13">
        <v>1.2130000000000001E-3</v>
      </c>
      <c r="Q24" s="13">
        <f t="shared" si="0"/>
        <v>2.1842697210000001E-3</v>
      </c>
      <c r="R24" s="13">
        <v>0.99804300000000001</v>
      </c>
      <c r="S24" s="13">
        <v>2.8279999999999998E-3</v>
      </c>
      <c r="T24" s="13">
        <f t="shared" si="6"/>
        <v>2.8224656039999999E-3</v>
      </c>
      <c r="U24" s="13">
        <v>1.7998130000000001</v>
      </c>
      <c r="V24" s="13">
        <v>5.6550000000000003E-3</v>
      </c>
      <c r="W24" s="13">
        <f t="shared" si="1"/>
        <v>1.0177942515000002E-2</v>
      </c>
      <c r="X24" s="13">
        <v>0.99888600000000005</v>
      </c>
      <c r="Y24" s="13">
        <v>3.4696999999999999E-2</v>
      </c>
      <c r="Z24" s="13">
        <f t="shared" si="2"/>
        <v>3.4658347542E-2</v>
      </c>
      <c r="AA24" s="15">
        <f t="shared" si="3"/>
        <v>8.9083321290000003E-2</v>
      </c>
      <c r="AB24" s="46">
        <f t="shared" si="7"/>
        <v>8.9083321290000003E-2</v>
      </c>
    </row>
    <row r="25" spans="1:28" x14ac:dyDescent="0.7">
      <c r="A25" s="8">
        <v>22</v>
      </c>
      <c r="B25" s="9">
        <v>19000</v>
      </c>
      <c r="C25" s="10">
        <v>-43.651387410928642</v>
      </c>
      <c r="D25" s="10">
        <f t="shared" si="4"/>
        <v>-8.0052899433946649</v>
      </c>
      <c r="E25" s="10">
        <v>35.646097467533977</v>
      </c>
      <c r="F25" s="10">
        <f t="shared" si="8"/>
        <v>35.406447567533966</v>
      </c>
      <c r="G25" s="11" t="s">
        <v>42</v>
      </c>
      <c r="H25" s="51" t="s">
        <v>43</v>
      </c>
      <c r="I25" s="11"/>
      <c r="J25" s="10"/>
      <c r="K25" s="12"/>
      <c r="L25" s="13">
        <v>1.4999260000000001</v>
      </c>
      <c r="M25" s="13">
        <v>2.6155000000000001E-2</v>
      </c>
      <c r="N25" s="13">
        <f t="shared" si="5"/>
        <v>3.9230564530000005E-2</v>
      </c>
      <c r="O25" s="13">
        <v>1.8007169999999999</v>
      </c>
      <c r="P25" s="13">
        <v>1.2130000000000001E-3</v>
      </c>
      <c r="Q25" s="13">
        <f t="shared" si="0"/>
        <v>2.1842697210000001E-3</v>
      </c>
      <c r="R25" s="13">
        <v>0.99804300000000001</v>
      </c>
      <c r="S25" s="13">
        <v>2.8279999999999998E-3</v>
      </c>
      <c r="T25" s="13">
        <f t="shared" si="6"/>
        <v>2.8224656039999999E-3</v>
      </c>
      <c r="U25" s="13">
        <v>1.8000130000000001</v>
      </c>
      <c r="V25" s="13">
        <v>5.6550000000000003E-3</v>
      </c>
      <c r="W25" s="13">
        <f t="shared" si="1"/>
        <v>1.0179073515000001E-2</v>
      </c>
      <c r="X25" s="13">
        <v>0.99888600000000005</v>
      </c>
      <c r="Y25" s="13">
        <v>3.4696999999999999E-2</v>
      </c>
      <c r="Z25" s="13">
        <f t="shared" si="2"/>
        <v>3.4658347542E-2</v>
      </c>
      <c r="AA25" s="15">
        <f t="shared" si="3"/>
        <v>8.9074720911999999E-2</v>
      </c>
      <c r="AB25" s="46">
        <f t="shared" si="7"/>
        <v>8.9074720911999999E-2</v>
      </c>
    </row>
    <row r="26" spans="1:28" x14ac:dyDescent="0.7">
      <c r="A26" s="8">
        <v>23</v>
      </c>
      <c r="B26" s="9">
        <v>19000</v>
      </c>
      <c r="C26" s="10">
        <v>-43.651387410928642</v>
      </c>
      <c r="D26" s="10">
        <f t="shared" si="4"/>
        <v>-8.0631856433946751</v>
      </c>
      <c r="E26" s="10">
        <v>35.588201767533967</v>
      </c>
      <c r="F26" s="10">
        <f t="shared" si="8"/>
        <v>35.156447567533966</v>
      </c>
      <c r="G26" s="11" t="s">
        <v>42</v>
      </c>
      <c r="H26" s="51" t="s">
        <v>43</v>
      </c>
      <c r="I26" s="11"/>
      <c r="J26" s="10"/>
      <c r="K26" s="12"/>
      <c r="L26" s="13">
        <v>1.4999260000000001</v>
      </c>
      <c r="M26" s="13">
        <v>2.6141999999999999E-2</v>
      </c>
      <c r="N26" s="13">
        <f t="shared" si="5"/>
        <v>3.9211065492E-2</v>
      </c>
      <c r="O26" s="13">
        <v>1.8007169999999999</v>
      </c>
      <c r="P26" s="13">
        <v>1.2130000000000001E-3</v>
      </c>
      <c r="Q26" s="13">
        <f t="shared" si="0"/>
        <v>2.1842697210000001E-3</v>
      </c>
      <c r="R26" s="13">
        <v>0.99804300000000001</v>
      </c>
      <c r="S26" s="13">
        <v>2.8300000000000001E-3</v>
      </c>
      <c r="T26" s="13">
        <f t="shared" si="6"/>
        <v>2.8244616900000002E-3</v>
      </c>
      <c r="U26" s="13">
        <v>1.7998130000000001</v>
      </c>
      <c r="V26" s="13">
        <v>5.6550000000000003E-3</v>
      </c>
      <c r="W26" s="13">
        <f t="shared" si="1"/>
        <v>1.0177942515000002E-2</v>
      </c>
      <c r="X26" s="13">
        <v>0.99888600000000005</v>
      </c>
      <c r="Y26" s="13">
        <v>3.4696999999999999E-2</v>
      </c>
      <c r="Z26" s="13">
        <f t="shared" si="2"/>
        <v>3.4658347542E-2</v>
      </c>
      <c r="AA26" s="15">
        <f t="shared" si="3"/>
        <v>8.9056086960000003E-2</v>
      </c>
      <c r="AB26" s="46">
        <f t="shared" si="7"/>
        <v>8.9056086960000003E-2</v>
      </c>
    </row>
    <row r="27" spans="1:28" x14ac:dyDescent="0.7">
      <c r="A27" s="8">
        <v>24</v>
      </c>
      <c r="B27" s="9">
        <v>19000</v>
      </c>
      <c r="C27" s="10">
        <v>-43.651387410928642</v>
      </c>
      <c r="D27" s="10">
        <f t="shared" si="4"/>
        <v>-9.0333382433946738</v>
      </c>
      <c r="E27" s="10">
        <v>34.618049167533968</v>
      </c>
      <c r="F27" s="10">
        <f t="shared" si="8"/>
        <v>34.906447567533966</v>
      </c>
      <c r="G27" s="11" t="s">
        <v>42</v>
      </c>
      <c r="H27" s="51" t="s">
        <v>43</v>
      </c>
      <c r="I27" s="11"/>
      <c r="J27" s="10"/>
      <c r="K27" s="12"/>
      <c r="L27" s="13">
        <v>1.4999260000000001</v>
      </c>
      <c r="M27" s="13">
        <v>2.6117999999999999E-2</v>
      </c>
      <c r="N27" s="13">
        <f t="shared" si="5"/>
        <v>3.9175067267999998E-2</v>
      </c>
      <c r="O27" s="13">
        <v>1.8007169999999999</v>
      </c>
      <c r="P27" s="13">
        <v>1.2130000000000001E-3</v>
      </c>
      <c r="Q27" s="13">
        <f t="shared" si="0"/>
        <v>2.1842697210000001E-3</v>
      </c>
      <c r="R27" s="13">
        <v>0.99804300000000001</v>
      </c>
      <c r="S27" s="13">
        <v>2.8189999999999999E-3</v>
      </c>
      <c r="T27" s="13">
        <f t="shared" si="6"/>
        <v>2.8134832169999999E-3</v>
      </c>
      <c r="U27" s="13">
        <v>1.7998130000000001</v>
      </c>
      <c r="V27" s="13">
        <v>5.6550000000000003E-3</v>
      </c>
      <c r="W27" s="13">
        <f t="shared" si="1"/>
        <v>1.0177942515000002E-2</v>
      </c>
      <c r="X27" s="13">
        <v>0.99888600000000005</v>
      </c>
      <c r="Y27" s="13">
        <v>3.4763000000000002E-2</v>
      </c>
      <c r="Z27" s="13">
        <f t="shared" si="2"/>
        <v>3.4724274018000004E-2</v>
      </c>
      <c r="AA27" s="15">
        <f t="shared" si="3"/>
        <v>8.9075036738999996E-2</v>
      </c>
      <c r="AB27" s="46">
        <f t="shared" si="7"/>
        <v>8.9075036738999996E-2</v>
      </c>
    </row>
    <row r="28" spans="1:28" x14ac:dyDescent="0.7">
      <c r="A28" s="8">
        <v>25</v>
      </c>
      <c r="B28" s="9">
        <v>19000</v>
      </c>
      <c r="C28" s="10">
        <v>-43.651387410928642</v>
      </c>
      <c r="D28" s="10">
        <f t="shared" si="4"/>
        <v>-9.0875448433946744</v>
      </c>
      <c r="E28" s="10">
        <v>34.563842567533968</v>
      </c>
      <c r="F28" s="10">
        <f t="shared" si="8"/>
        <v>34.656447567533966</v>
      </c>
      <c r="G28" s="11" t="s">
        <v>42</v>
      </c>
      <c r="H28" s="51" t="s">
        <v>43</v>
      </c>
      <c r="I28" s="11"/>
      <c r="J28" s="10"/>
      <c r="K28" s="12"/>
      <c r="L28" s="13">
        <v>1.4999260000000001</v>
      </c>
      <c r="M28" s="13">
        <v>2.6120999999999998E-2</v>
      </c>
      <c r="N28" s="13">
        <f t="shared" si="5"/>
        <v>3.9179567046000001E-2</v>
      </c>
      <c r="O28" s="13">
        <v>1.8007169999999999</v>
      </c>
      <c r="P28" s="13">
        <v>1.2130000000000001E-3</v>
      </c>
      <c r="Q28" s="13">
        <f t="shared" si="0"/>
        <v>2.1842697210000001E-3</v>
      </c>
      <c r="R28" s="13">
        <v>0.99804300000000001</v>
      </c>
      <c r="S28" s="13">
        <v>2.8210000000000002E-3</v>
      </c>
      <c r="T28" s="13">
        <f t="shared" si="6"/>
        <v>2.8154793030000002E-3</v>
      </c>
      <c r="U28" s="13">
        <v>1.7998130000000001</v>
      </c>
      <c r="V28" s="13">
        <v>5.6499999999999996E-3</v>
      </c>
      <c r="W28" s="13">
        <f t="shared" si="1"/>
        <v>1.0168943450000001E-2</v>
      </c>
      <c r="X28" s="13">
        <v>0.99888600000000005</v>
      </c>
      <c r="Y28" s="13">
        <v>3.4696999999999999E-2</v>
      </c>
      <c r="Z28" s="13">
        <f t="shared" si="2"/>
        <v>3.4658347542E-2</v>
      </c>
      <c r="AA28" s="15">
        <f t="shared" si="3"/>
        <v>8.9006607062000004E-2</v>
      </c>
      <c r="AB28" s="46">
        <f t="shared" si="7"/>
        <v>8.9006607062000004E-2</v>
      </c>
    </row>
    <row r="29" spans="1:28" x14ac:dyDescent="0.7">
      <c r="A29" s="8">
        <v>26</v>
      </c>
      <c r="B29" s="9">
        <v>19000</v>
      </c>
      <c r="C29" s="10">
        <v>-43.651387410928642</v>
      </c>
      <c r="D29" s="10">
        <f t="shared" si="4"/>
        <v>-9.1418999433946695</v>
      </c>
      <c r="E29" s="10">
        <v>34.509487467533972</v>
      </c>
      <c r="F29" s="10">
        <f t="shared" si="8"/>
        <v>34.406447567533966</v>
      </c>
      <c r="G29" s="11" t="s">
        <v>42</v>
      </c>
      <c r="H29" s="51" t="s">
        <v>43</v>
      </c>
      <c r="I29" s="11"/>
      <c r="J29" s="10"/>
      <c r="K29" s="12"/>
      <c r="L29" s="13">
        <v>1.4999260000000001</v>
      </c>
      <c r="M29" s="13">
        <v>2.6116E-2</v>
      </c>
      <c r="N29" s="13">
        <f t="shared" si="5"/>
        <v>3.9172067416000003E-2</v>
      </c>
      <c r="O29" s="13">
        <v>1.8007169999999999</v>
      </c>
      <c r="P29" s="13">
        <v>1.2130000000000001E-3</v>
      </c>
      <c r="Q29" s="13">
        <f t="shared" si="0"/>
        <v>2.1842697210000001E-3</v>
      </c>
      <c r="R29" s="13">
        <v>0.99804300000000001</v>
      </c>
      <c r="S29" s="13">
        <v>2.8210000000000002E-3</v>
      </c>
      <c r="T29" s="13">
        <f t="shared" si="6"/>
        <v>2.8154793030000002E-3</v>
      </c>
      <c r="U29" s="13">
        <v>1.7998130000000001</v>
      </c>
      <c r="V29" s="13">
        <v>5.6550000000000003E-3</v>
      </c>
      <c r="W29" s="13">
        <f t="shared" si="1"/>
        <v>1.0177942515000002E-2</v>
      </c>
      <c r="X29" s="13">
        <v>0.99888600000000005</v>
      </c>
      <c r="Y29" s="13">
        <v>3.4696999999999999E-2</v>
      </c>
      <c r="Z29" s="13">
        <f t="shared" si="2"/>
        <v>3.4658347542E-2</v>
      </c>
      <c r="AA29" s="15">
        <f t="shared" si="3"/>
        <v>8.9008106497E-2</v>
      </c>
      <c r="AB29" s="46">
        <f t="shared" si="7"/>
        <v>8.9008106497E-2</v>
      </c>
    </row>
    <row r="30" spans="1:28" x14ac:dyDescent="0.7">
      <c r="A30" s="8">
        <v>27</v>
      </c>
      <c r="B30" s="9">
        <v>19000</v>
      </c>
      <c r="C30" s="10">
        <v>-43.651387410928642</v>
      </c>
      <c r="D30" s="10">
        <f t="shared" si="4"/>
        <v>-9.1915202433946703</v>
      </c>
      <c r="E30" s="10">
        <v>34.459867167533972</v>
      </c>
      <c r="F30" s="10">
        <f t="shared" si="8"/>
        <v>34.156447567533966</v>
      </c>
      <c r="G30" s="11" t="s">
        <v>42</v>
      </c>
      <c r="H30" s="51" t="s">
        <v>43</v>
      </c>
      <c r="I30" s="11"/>
      <c r="J30" s="10"/>
      <c r="K30" s="12"/>
      <c r="L30" s="13">
        <v>1.4999260000000001</v>
      </c>
      <c r="M30" s="13">
        <v>2.6120999999999998E-2</v>
      </c>
      <c r="N30" s="13">
        <f t="shared" si="5"/>
        <v>3.9179567046000001E-2</v>
      </c>
      <c r="O30" s="13">
        <v>1.8007169999999999</v>
      </c>
      <c r="P30" s="13">
        <v>1.2130000000000001E-3</v>
      </c>
      <c r="Q30" s="13">
        <f t="shared" si="0"/>
        <v>2.1842697210000001E-3</v>
      </c>
      <c r="R30" s="13">
        <v>0.99804300000000001</v>
      </c>
      <c r="S30" s="13">
        <v>2.8219999999999999E-3</v>
      </c>
      <c r="T30" s="13">
        <f t="shared" si="6"/>
        <v>2.8164773459999999E-3</v>
      </c>
      <c r="U30" s="13">
        <v>1.8000130000000001</v>
      </c>
      <c r="V30" s="13">
        <v>5.6569999999999997E-3</v>
      </c>
      <c r="W30" s="13">
        <f t="shared" si="1"/>
        <v>1.0182673541E-2</v>
      </c>
      <c r="X30" s="13">
        <v>0.99888600000000005</v>
      </c>
      <c r="Y30" s="13">
        <v>3.4696999999999999E-2</v>
      </c>
      <c r="Z30" s="13">
        <f t="shared" si="2"/>
        <v>3.4658347542E-2</v>
      </c>
      <c r="AA30" s="15">
        <f t="shared" si="3"/>
        <v>8.9021335196000001E-2</v>
      </c>
      <c r="AB30" s="46">
        <f t="shared" si="7"/>
        <v>8.9021335196000001E-2</v>
      </c>
    </row>
    <row r="31" spans="1:28" x14ac:dyDescent="0.7">
      <c r="A31" s="8">
        <v>28</v>
      </c>
      <c r="B31" s="9">
        <v>19000</v>
      </c>
      <c r="C31" s="10">
        <v>-43.651387410928642</v>
      </c>
      <c r="D31" s="10">
        <f t="shared" si="4"/>
        <v>-10.027974043394671</v>
      </c>
      <c r="E31" s="10">
        <v>33.623413367533971</v>
      </c>
      <c r="F31" s="10">
        <f t="shared" si="8"/>
        <v>33.906447567533966</v>
      </c>
      <c r="G31" s="11" t="s">
        <v>42</v>
      </c>
      <c r="H31" s="51" t="s">
        <v>43</v>
      </c>
      <c r="I31" s="11"/>
      <c r="J31" s="10"/>
      <c r="K31" s="12"/>
      <c r="L31" s="13">
        <v>1.4999260000000001</v>
      </c>
      <c r="M31" s="13">
        <v>2.6116E-2</v>
      </c>
      <c r="N31" s="13">
        <f t="shared" si="5"/>
        <v>3.9172067416000003E-2</v>
      </c>
      <c r="O31" s="13">
        <v>1.8007169999999999</v>
      </c>
      <c r="P31" s="13">
        <v>1.2130000000000001E-3</v>
      </c>
      <c r="Q31" s="13">
        <f t="shared" si="0"/>
        <v>2.1842697210000001E-3</v>
      </c>
      <c r="R31" s="13">
        <v>0.99804300000000001</v>
      </c>
      <c r="S31" s="13">
        <v>2.8210000000000002E-3</v>
      </c>
      <c r="T31" s="13">
        <f t="shared" si="6"/>
        <v>2.8154793030000002E-3</v>
      </c>
      <c r="U31" s="13">
        <v>1.7998130000000001</v>
      </c>
      <c r="V31" s="13">
        <v>5.6550000000000003E-3</v>
      </c>
      <c r="W31" s="13">
        <f t="shared" si="1"/>
        <v>1.0177942515000002E-2</v>
      </c>
      <c r="X31" s="13">
        <v>0.99888600000000005</v>
      </c>
      <c r="Y31" s="13">
        <v>3.4696999999999999E-2</v>
      </c>
      <c r="Z31" s="13">
        <f t="shared" si="2"/>
        <v>3.4658347542E-2</v>
      </c>
      <c r="AA31" s="15">
        <f t="shared" si="3"/>
        <v>8.9008106497E-2</v>
      </c>
      <c r="AB31" s="46">
        <f t="shared" si="7"/>
        <v>8.9008106497E-2</v>
      </c>
    </row>
    <row r="32" spans="1:28" x14ac:dyDescent="0.7">
      <c r="A32" s="8">
        <v>29</v>
      </c>
      <c r="B32" s="9">
        <v>19000</v>
      </c>
      <c r="C32" s="10">
        <v>-43.651387410928642</v>
      </c>
      <c r="D32" s="10">
        <f t="shared" si="4"/>
        <v>-10.09652864339467</v>
      </c>
      <c r="E32" s="10">
        <v>33.554858767533972</v>
      </c>
      <c r="F32" s="10">
        <f t="shared" si="8"/>
        <v>33.656447567533966</v>
      </c>
      <c r="G32" s="11" t="s">
        <v>42</v>
      </c>
      <c r="H32" s="51" t="s">
        <v>43</v>
      </c>
      <c r="I32" s="11"/>
      <c r="J32" s="10"/>
      <c r="K32" s="12"/>
      <c r="L32" s="13">
        <v>1.4999260000000001</v>
      </c>
      <c r="M32" s="13">
        <v>2.6116E-2</v>
      </c>
      <c r="N32" s="13">
        <f t="shared" si="5"/>
        <v>3.9172067416000003E-2</v>
      </c>
      <c r="O32" s="13">
        <v>1.8007169999999999</v>
      </c>
      <c r="P32" s="13">
        <v>1.2130000000000001E-3</v>
      </c>
      <c r="Q32" s="13">
        <f t="shared" si="0"/>
        <v>2.1842697210000001E-3</v>
      </c>
      <c r="R32" s="13">
        <v>0.99804300000000001</v>
      </c>
      <c r="S32" s="13">
        <v>2.8219999999999999E-3</v>
      </c>
      <c r="T32" s="13">
        <f t="shared" si="6"/>
        <v>2.8164773459999999E-3</v>
      </c>
      <c r="U32" s="13">
        <v>1.7998130000000001</v>
      </c>
      <c r="V32" s="13">
        <v>5.6480000000000002E-3</v>
      </c>
      <c r="W32" s="13">
        <f t="shared" si="1"/>
        <v>1.0165343824E-2</v>
      </c>
      <c r="X32" s="13">
        <v>0.99888600000000005</v>
      </c>
      <c r="Y32" s="13">
        <v>3.4696999999999999E-2</v>
      </c>
      <c r="Z32" s="13">
        <f t="shared" si="2"/>
        <v>3.4658347542E-2</v>
      </c>
      <c r="AA32" s="15">
        <f t="shared" si="3"/>
        <v>8.8996505848999999E-2</v>
      </c>
      <c r="AB32" s="46">
        <f t="shared" si="7"/>
        <v>8.8996505848999999E-2</v>
      </c>
    </row>
    <row r="33" spans="1:28" x14ac:dyDescent="0.7">
      <c r="A33" s="8">
        <v>30</v>
      </c>
      <c r="B33" s="9">
        <v>19000</v>
      </c>
      <c r="C33" s="10">
        <v>-43.651387410928642</v>
      </c>
      <c r="D33" s="10">
        <f t="shared" si="4"/>
        <v>-10.140452343394671</v>
      </c>
      <c r="E33" s="10">
        <v>33.510935067533971</v>
      </c>
      <c r="F33" s="10">
        <f t="shared" si="8"/>
        <v>33.406447567533966</v>
      </c>
      <c r="G33" s="11" t="s">
        <v>42</v>
      </c>
      <c r="H33" s="51" t="s">
        <v>43</v>
      </c>
      <c r="I33" s="11"/>
      <c r="J33" s="10"/>
      <c r="K33" s="12"/>
      <c r="L33" s="13">
        <v>1.4999260000000001</v>
      </c>
      <c r="M33" s="13">
        <v>2.6084E-2</v>
      </c>
      <c r="N33" s="13">
        <f t="shared" si="5"/>
        <v>3.9124069784000001E-2</v>
      </c>
      <c r="O33" s="13">
        <v>1.8007169999999999</v>
      </c>
      <c r="P33" s="13">
        <v>1.2130000000000001E-3</v>
      </c>
      <c r="Q33" s="13">
        <f t="shared" si="0"/>
        <v>2.1842697210000001E-3</v>
      </c>
      <c r="R33" s="13">
        <v>0.99804300000000001</v>
      </c>
      <c r="S33" s="13">
        <v>2.8219999999999999E-3</v>
      </c>
      <c r="T33" s="13">
        <f t="shared" si="6"/>
        <v>2.8164773459999999E-3</v>
      </c>
      <c r="U33" s="13">
        <v>1.7998130000000001</v>
      </c>
      <c r="V33" s="13">
        <v>5.6439999999999997E-3</v>
      </c>
      <c r="W33" s="13">
        <f t="shared" si="1"/>
        <v>1.0158144572E-2</v>
      </c>
      <c r="X33" s="13">
        <v>0.99888600000000005</v>
      </c>
      <c r="Y33" s="13">
        <v>3.4696999999999999E-2</v>
      </c>
      <c r="Z33" s="13">
        <f t="shared" si="2"/>
        <v>3.4658347542E-2</v>
      </c>
      <c r="AA33" s="15">
        <f t="shared" si="3"/>
        <v>8.8941308964999993E-2</v>
      </c>
      <c r="AB33" s="46">
        <f t="shared" si="7"/>
        <v>8.8941308964999993E-2</v>
      </c>
    </row>
    <row r="34" spans="1:28" x14ac:dyDescent="0.7">
      <c r="A34" s="8">
        <v>31</v>
      </c>
      <c r="B34" s="9">
        <v>19000</v>
      </c>
      <c r="C34" s="10">
        <v>-43.651387410928642</v>
      </c>
      <c r="D34" s="10">
        <f t="shared" si="4"/>
        <v>-10.215976443394673</v>
      </c>
      <c r="E34" s="10">
        <v>33.435410967533969</v>
      </c>
      <c r="F34" s="10">
        <f t="shared" si="8"/>
        <v>33.156447567533966</v>
      </c>
      <c r="G34" s="11" t="s">
        <v>42</v>
      </c>
      <c r="H34" s="51" t="s">
        <v>43</v>
      </c>
      <c r="I34" s="11"/>
      <c r="J34" s="10"/>
      <c r="K34" s="12"/>
      <c r="L34" s="13">
        <v>1.4999260000000001</v>
      </c>
      <c r="M34" s="13">
        <v>2.6086000000000002E-2</v>
      </c>
      <c r="N34" s="13">
        <f t="shared" si="5"/>
        <v>3.9127069636000003E-2</v>
      </c>
      <c r="O34" s="13">
        <v>1.8007169999999999</v>
      </c>
      <c r="P34" s="13">
        <v>1.2130000000000001E-3</v>
      </c>
      <c r="Q34" s="13">
        <f t="shared" si="0"/>
        <v>2.1842697210000001E-3</v>
      </c>
      <c r="R34" s="13">
        <v>0.99804300000000001</v>
      </c>
      <c r="S34" s="13">
        <v>2.8240000000000001E-3</v>
      </c>
      <c r="T34" s="13">
        <f t="shared" si="6"/>
        <v>2.8184734320000002E-3</v>
      </c>
      <c r="U34" s="13">
        <v>1.7998130000000001</v>
      </c>
      <c r="V34" s="13">
        <v>5.6480000000000002E-3</v>
      </c>
      <c r="W34" s="13">
        <f t="shared" si="1"/>
        <v>1.0165343824E-2</v>
      </c>
      <c r="X34" s="13">
        <v>0.99888600000000005</v>
      </c>
      <c r="Y34" s="13">
        <v>3.4632000000000003E-2</v>
      </c>
      <c r="Z34" s="13">
        <f t="shared" si="2"/>
        <v>3.4593419952000007E-2</v>
      </c>
      <c r="AA34" s="15">
        <f t="shared" si="3"/>
        <v>8.8888576565000016E-2</v>
      </c>
      <c r="AB34" s="46">
        <f t="shared" si="7"/>
        <v>8.8888576565000016E-2</v>
      </c>
    </row>
    <row r="35" spans="1:28" x14ac:dyDescent="0.7">
      <c r="A35" s="8">
        <v>32</v>
      </c>
      <c r="B35" s="9">
        <v>19000</v>
      </c>
      <c r="C35" s="10">
        <v>-43.651387410928642</v>
      </c>
      <c r="D35" s="10">
        <f t="shared" si="4"/>
        <v>-11.23731934339466</v>
      </c>
      <c r="E35" s="10">
        <v>32.414068067533982</v>
      </c>
      <c r="F35" s="10">
        <f t="shared" si="8"/>
        <v>32.906447567533966</v>
      </c>
      <c r="G35" s="11" t="s">
        <v>42</v>
      </c>
      <c r="H35" s="51" t="s">
        <v>43</v>
      </c>
      <c r="I35" s="11"/>
      <c r="J35" s="10"/>
      <c r="K35" s="12"/>
      <c r="L35" s="13">
        <v>1.4999260000000001</v>
      </c>
      <c r="M35" s="13">
        <v>2.6072000000000001E-2</v>
      </c>
      <c r="N35" s="13">
        <f t="shared" si="5"/>
        <v>3.9106070672000004E-2</v>
      </c>
      <c r="O35" s="13">
        <v>1.8007169999999999</v>
      </c>
      <c r="P35" s="13">
        <v>1.2130000000000001E-3</v>
      </c>
      <c r="Q35" s="13">
        <f t="shared" si="0"/>
        <v>2.1842697210000001E-3</v>
      </c>
      <c r="R35" s="13">
        <v>0.99804300000000001</v>
      </c>
      <c r="S35" s="13">
        <v>2.823E-3</v>
      </c>
      <c r="T35" s="13">
        <f t="shared" si="6"/>
        <v>2.817475389E-3</v>
      </c>
      <c r="U35" s="13">
        <v>1.7998130000000001</v>
      </c>
      <c r="V35" s="13">
        <v>5.6550000000000003E-3</v>
      </c>
      <c r="W35" s="13">
        <f t="shared" si="1"/>
        <v>1.0177942515000002E-2</v>
      </c>
      <c r="X35" s="13">
        <v>0.99888600000000005</v>
      </c>
      <c r="Y35" s="13">
        <v>3.4632000000000003E-2</v>
      </c>
      <c r="Z35" s="13">
        <f t="shared" si="2"/>
        <v>3.4593419952000007E-2</v>
      </c>
      <c r="AA35" s="15">
        <f t="shared" si="3"/>
        <v>8.8879178249000018E-2</v>
      </c>
      <c r="AB35" s="46">
        <f t="shared" si="7"/>
        <v>8.8879178249000018E-2</v>
      </c>
    </row>
    <row r="36" spans="1:28" x14ac:dyDescent="0.7">
      <c r="A36" s="8">
        <v>33</v>
      </c>
      <c r="B36" s="9">
        <v>19000</v>
      </c>
      <c r="C36" s="10">
        <v>-43.651387410928642</v>
      </c>
      <c r="D36" s="10">
        <f t="shared" si="4"/>
        <v>-11.304593943394671</v>
      </c>
      <c r="E36" s="10">
        <v>32.346793467533971</v>
      </c>
      <c r="F36" s="10">
        <f>F35-0.25</f>
        <v>32.656447567533966</v>
      </c>
      <c r="G36" s="11" t="s">
        <v>42</v>
      </c>
      <c r="H36" s="51" t="s">
        <v>43</v>
      </c>
      <c r="I36" s="11"/>
      <c r="J36" s="10"/>
      <c r="K36" s="12"/>
      <c r="L36" s="13">
        <v>1.4999260000000001</v>
      </c>
      <c r="M36" s="13">
        <v>2.6079000000000001E-2</v>
      </c>
      <c r="N36" s="13">
        <f t="shared" si="5"/>
        <v>3.9116570154000004E-2</v>
      </c>
      <c r="O36" s="13">
        <v>1.8007169999999999</v>
      </c>
      <c r="P36" s="13">
        <v>1.2130000000000001E-3</v>
      </c>
      <c r="Q36" s="13">
        <f t="shared" si="0"/>
        <v>2.1842697210000001E-3</v>
      </c>
      <c r="R36" s="13">
        <v>0.99804300000000001</v>
      </c>
      <c r="S36" s="13">
        <v>2.8249999999999998E-3</v>
      </c>
      <c r="T36" s="13">
        <f t="shared" si="6"/>
        <v>2.8194714749999999E-3</v>
      </c>
      <c r="U36" s="13">
        <v>1.8000130000000001</v>
      </c>
      <c r="V36" s="13">
        <v>5.6550000000000003E-3</v>
      </c>
      <c r="W36" s="13">
        <f t="shared" si="1"/>
        <v>1.0179073515000001E-2</v>
      </c>
      <c r="X36" s="13">
        <v>0.99888600000000005</v>
      </c>
      <c r="Y36" s="13">
        <v>3.4632000000000003E-2</v>
      </c>
      <c r="Z36" s="13">
        <f t="shared" si="2"/>
        <v>3.4593419952000007E-2</v>
      </c>
      <c r="AA36" s="15">
        <f t="shared" si="3"/>
        <v>8.8892804817000015E-2</v>
      </c>
      <c r="AB36" s="46">
        <f t="shared" si="7"/>
        <v>8.8892804817000015E-2</v>
      </c>
    </row>
    <row r="37" spans="1:28" x14ac:dyDescent="0.7">
      <c r="A37" s="8">
        <v>34</v>
      </c>
      <c r="B37" s="9">
        <v>19000</v>
      </c>
      <c r="C37" s="10">
        <v>-43.651387410928642</v>
      </c>
      <c r="D37" s="10">
        <f t="shared" si="4"/>
        <v>-11.36278844339467</v>
      </c>
      <c r="E37" s="10">
        <v>32.288598967533972</v>
      </c>
      <c r="F37" s="10">
        <f t="shared" si="8"/>
        <v>32.406447567533966</v>
      </c>
      <c r="G37" s="11" t="s">
        <v>42</v>
      </c>
      <c r="H37" s="51" t="s">
        <v>43</v>
      </c>
      <c r="I37" s="11"/>
      <c r="J37" s="10"/>
      <c r="K37" s="12"/>
      <c r="L37" s="13">
        <v>1.4999260000000001</v>
      </c>
      <c r="M37" s="13">
        <v>2.6081E-2</v>
      </c>
      <c r="N37" s="13">
        <f t="shared" si="5"/>
        <v>3.9119570006000005E-2</v>
      </c>
      <c r="O37" s="13">
        <v>1.8007169999999999</v>
      </c>
      <c r="P37" s="13">
        <v>1.2130000000000001E-3</v>
      </c>
      <c r="Q37" s="13">
        <f t="shared" si="0"/>
        <v>2.1842697210000001E-3</v>
      </c>
      <c r="R37" s="13">
        <v>0.99804300000000001</v>
      </c>
      <c r="S37" s="13">
        <v>2.8249999999999998E-3</v>
      </c>
      <c r="T37" s="13">
        <f t="shared" si="6"/>
        <v>2.8194714749999999E-3</v>
      </c>
      <c r="U37" s="13">
        <v>1.7998130000000001</v>
      </c>
      <c r="V37" s="13">
        <v>5.6499999999999996E-3</v>
      </c>
      <c r="W37" s="13">
        <f t="shared" si="1"/>
        <v>1.0168943450000001E-2</v>
      </c>
      <c r="X37" s="13">
        <v>0.99888600000000005</v>
      </c>
      <c r="Y37" s="13">
        <v>3.4696999999999999E-2</v>
      </c>
      <c r="Z37" s="13">
        <f t="shared" si="2"/>
        <v>3.4658347542E-2</v>
      </c>
      <c r="AA37" s="15">
        <f t="shared" si="3"/>
        <v>8.8950602194E-2</v>
      </c>
      <c r="AB37" s="46">
        <f t="shared" si="7"/>
        <v>8.8950602194E-2</v>
      </c>
    </row>
    <row r="38" spans="1:28" x14ac:dyDescent="0.7">
      <c r="A38" s="8">
        <v>35</v>
      </c>
      <c r="B38" s="9">
        <v>19000</v>
      </c>
      <c r="C38" s="10">
        <v>-43.651387410928642</v>
      </c>
      <c r="D38" s="10">
        <f t="shared" si="4"/>
        <v>-11.431257043394673</v>
      </c>
      <c r="E38" s="10">
        <v>32.220130367533969</v>
      </c>
      <c r="F38" s="10">
        <f t="shared" si="8"/>
        <v>32.156447567533966</v>
      </c>
      <c r="G38" s="11" t="s">
        <v>42</v>
      </c>
      <c r="H38" s="51" t="s">
        <v>43</v>
      </c>
      <c r="I38" s="11"/>
      <c r="J38" s="10"/>
      <c r="K38" s="12"/>
      <c r="L38" s="13">
        <v>1.4999260000000001</v>
      </c>
      <c r="M38" s="13">
        <v>2.6075000000000001E-2</v>
      </c>
      <c r="N38" s="13">
        <f t="shared" si="5"/>
        <v>3.9110570450000007E-2</v>
      </c>
      <c r="O38" s="13">
        <v>1.8007169999999999</v>
      </c>
      <c r="P38" s="13">
        <v>1.2130000000000001E-3</v>
      </c>
      <c r="Q38" s="13">
        <f t="shared" si="0"/>
        <v>2.1842697210000001E-3</v>
      </c>
      <c r="R38" s="13">
        <v>0.99804300000000001</v>
      </c>
      <c r="S38" s="13">
        <v>2.826E-3</v>
      </c>
      <c r="T38" s="13">
        <f t="shared" si="6"/>
        <v>2.820469518E-3</v>
      </c>
      <c r="U38" s="13">
        <v>1.7998130000000001</v>
      </c>
      <c r="V38" s="13">
        <v>5.6550000000000003E-3</v>
      </c>
      <c r="W38" s="13">
        <f t="shared" si="1"/>
        <v>1.0177942515000002E-2</v>
      </c>
      <c r="X38" s="13">
        <v>0.99888600000000005</v>
      </c>
      <c r="Y38" s="13">
        <v>3.4696999999999999E-2</v>
      </c>
      <c r="Z38" s="13">
        <f t="shared" si="2"/>
        <v>3.4658347542E-2</v>
      </c>
      <c r="AA38" s="15">
        <f t="shared" si="3"/>
        <v>8.8951599746000004E-2</v>
      </c>
      <c r="AB38" s="46">
        <f t="shared" si="7"/>
        <v>8.8951599746000004E-2</v>
      </c>
    </row>
    <row r="39" spans="1:28" x14ac:dyDescent="0.7">
      <c r="A39" s="8">
        <v>36</v>
      </c>
      <c r="B39" s="9">
        <v>19000</v>
      </c>
      <c r="C39" s="10">
        <v>-43.651387410928642</v>
      </c>
      <c r="D39" s="10">
        <f t="shared" si="4"/>
        <v>-12.315969143394671</v>
      </c>
      <c r="E39" s="10">
        <v>31.335418267533971</v>
      </c>
      <c r="F39" s="10">
        <f t="shared" si="8"/>
        <v>31.906447567533966</v>
      </c>
      <c r="G39" s="11" t="s">
        <v>42</v>
      </c>
      <c r="H39" s="51" t="s">
        <v>43</v>
      </c>
      <c r="I39" s="11"/>
      <c r="J39" s="10"/>
      <c r="K39" s="12"/>
      <c r="L39" s="13">
        <v>1.4999260000000001</v>
      </c>
      <c r="M39" s="13">
        <v>2.6055999999999999E-2</v>
      </c>
      <c r="N39" s="13">
        <f t="shared" si="5"/>
        <v>3.9082071856000003E-2</v>
      </c>
      <c r="O39" s="13">
        <v>1.8007169999999999</v>
      </c>
      <c r="P39" s="13">
        <v>1.2130000000000001E-3</v>
      </c>
      <c r="Q39" s="13">
        <f t="shared" si="0"/>
        <v>2.1842697210000001E-3</v>
      </c>
      <c r="R39" s="13">
        <v>0.99804300000000001</v>
      </c>
      <c r="S39" s="13">
        <v>2.8249999999999998E-3</v>
      </c>
      <c r="T39" s="13">
        <f t="shared" si="6"/>
        <v>2.8194714749999999E-3</v>
      </c>
      <c r="U39" s="13">
        <v>1.7998130000000001</v>
      </c>
      <c r="V39" s="13">
        <v>5.6499999999999996E-3</v>
      </c>
      <c r="W39" s="13">
        <f t="shared" si="1"/>
        <v>1.0168943450000001E-2</v>
      </c>
      <c r="X39" s="13">
        <v>0.99888600000000005</v>
      </c>
      <c r="Y39" s="13">
        <v>3.4696999999999999E-2</v>
      </c>
      <c r="Z39" s="13">
        <f t="shared" si="2"/>
        <v>3.4658347542E-2</v>
      </c>
      <c r="AA39" s="15">
        <f t="shared" si="3"/>
        <v>8.8913104044000005E-2</v>
      </c>
      <c r="AB39" s="46">
        <f t="shared" si="7"/>
        <v>8.8913104044000005E-2</v>
      </c>
    </row>
    <row r="40" spans="1:28" x14ac:dyDescent="0.7">
      <c r="A40" s="8">
        <v>37</v>
      </c>
      <c r="B40" s="9">
        <v>19000</v>
      </c>
      <c r="C40" s="10">
        <v>-43.651387410928642</v>
      </c>
      <c r="D40" s="10">
        <f t="shared" si="4"/>
        <v>-12.370285243394672</v>
      </c>
      <c r="E40" s="10">
        <v>31.28110216753397</v>
      </c>
      <c r="F40" s="10">
        <f t="shared" si="8"/>
        <v>31.656447567533966</v>
      </c>
      <c r="G40" s="11" t="s">
        <v>42</v>
      </c>
      <c r="H40" s="51" t="s">
        <v>43</v>
      </c>
      <c r="I40" s="11"/>
      <c r="J40" s="10"/>
      <c r="K40" s="12"/>
      <c r="L40" s="13">
        <v>1.4999260000000001</v>
      </c>
      <c r="M40" s="13">
        <v>2.6075000000000001E-2</v>
      </c>
      <c r="N40" s="13">
        <f t="shared" si="5"/>
        <v>3.9110570450000007E-2</v>
      </c>
      <c r="O40" s="13">
        <v>1.8007169999999999</v>
      </c>
      <c r="P40" s="13">
        <v>1.214E-3</v>
      </c>
      <c r="Q40" s="13">
        <f t="shared" si="0"/>
        <v>2.186070438E-3</v>
      </c>
      <c r="R40" s="13">
        <v>0.99804300000000001</v>
      </c>
      <c r="S40" s="13">
        <v>2.826E-3</v>
      </c>
      <c r="T40" s="13">
        <f t="shared" si="6"/>
        <v>2.820469518E-3</v>
      </c>
      <c r="U40" s="13">
        <v>1.7998130000000001</v>
      </c>
      <c r="V40" s="13">
        <v>5.6550000000000003E-3</v>
      </c>
      <c r="W40" s="13">
        <f t="shared" si="1"/>
        <v>1.0177942515000002E-2</v>
      </c>
      <c r="X40" s="13">
        <v>0.99888600000000005</v>
      </c>
      <c r="Y40" s="13">
        <v>3.4632000000000003E-2</v>
      </c>
      <c r="Z40" s="13">
        <f t="shared" si="2"/>
        <v>3.4593419952000007E-2</v>
      </c>
      <c r="AA40" s="15">
        <f t="shared" si="3"/>
        <v>8.888847287300003E-2</v>
      </c>
      <c r="AB40" s="46">
        <f t="shared" si="7"/>
        <v>8.888847287300003E-2</v>
      </c>
    </row>
    <row r="41" spans="1:28" x14ac:dyDescent="0.7">
      <c r="A41" s="8">
        <v>38</v>
      </c>
      <c r="B41" s="9">
        <v>19000</v>
      </c>
      <c r="C41" s="10">
        <v>-43.651387410928642</v>
      </c>
      <c r="D41" s="10">
        <f t="shared" si="4"/>
        <v>-12.438259343394673</v>
      </c>
      <c r="E41" s="10">
        <v>31.213128067533969</v>
      </c>
      <c r="F41" s="10">
        <f t="shared" si="8"/>
        <v>31.406447567533966</v>
      </c>
      <c r="G41" s="11" t="s">
        <v>42</v>
      </c>
      <c r="H41" s="51" t="s">
        <v>43</v>
      </c>
      <c r="I41" s="11"/>
      <c r="J41" s="10"/>
      <c r="K41" s="12"/>
      <c r="L41" s="13">
        <v>1.4999260000000001</v>
      </c>
      <c r="M41" s="13">
        <v>2.6055999999999999E-2</v>
      </c>
      <c r="N41" s="13">
        <f t="shared" si="5"/>
        <v>3.9082071856000003E-2</v>
      </c>
      <c r="O41" s="13">
        <v>1.8007169999999999</v>
      </c>
      <c r="P41" s="13">
        <v>1.2130000000000001E-3</v>
      </c>
      <c r="Q41" s="13">
        <f t="shared" si="0"/>
        <v>2.1842697210000001E-3</v>
      </c>
      <c r="R41" s="13">
        <v>0.99804300000000001</v>
      </c>
      <c r="S41" s="13">
        <v>2.826E-3</v>
      </c>
      <c r="T41" s="13">
        <f t="shared" si="6"/>
        <v>2.820469518E-3</v>
      </c>
      <c r="U41" s="13">
        <v>1.7998130000000001</v>
      </c>
      <c r="V41" s="13">
        <v>5.6499999999999996E-3</v>
      </c>
      <c r="W41" s="13">
        <f t="shared" si="1"/>
        <v>1.0168943450000001E-2</v>
      </c>
      <c r="X41" s="13">
        <v>0.99888600000000005</v>
      </c>
      <c r="Y41" s="13">
        <v>3.4632000000000003E-2</v>
      </c>
      <c r="Z41" s="13">
        <f t="shared" si="2"/>
        <v>3.4593419952000007E-2</v>
      </c>
      <c r="AA41" s="15">
        <f t="shared" si="3"/>
        <v>8.8849174497000014E-2</v>
      </c>
      <c r="AB41" s="46">
        <f t="shared" si="7"/>
        <v>8.8849174497000014E-2</v>
      </c>
    </row>
    <row r="42" spans="1:28" x14ac:dyDescent="0.7">
      <c r="A42" s="8">
        <v>39</v>
      </c>
      <c r="B42" s="9">
        <v>19000</v>
      </c>
      <c r="C42" s="10">
        <v>-43.651387410928642</v>
      </c>
      <c r="D42" s="10">
        <f t="shared" si="4"/>
        <v>-12.500352443394672</v>
      </c>
      <c r="E42" s="10">
        <v>31.15103496753397</v>
      </c>
      <c r="F42" s="10">
        <f t="shared" si="8"/>
        <v>31.156447567533966</v>
      </c>
      <c r="G42" s="11" t="s">
        <v>42</v>
      </c>
      <c r="H42" s="51" t="s">
        <v>43</v>
      </c>
      <c r="I42" s="11"/>
      <c r="J42" s="10"/>
      <c r="K42" s="12"/>
      <c r="L42" s="13">
        <v>1.4999260000000001</v>
      </c>
      <c r="M42" s="13">
        <v>2.6047000000000001E-2</v>
      </c>
      <c r="N42" s="13">
        <f t="shared" si="5"/>
        <v>3.9068572522000002E-2</v>
      </c>
      <c r="O42" s="13">
        <v>1.8007169999999999</v>
      </c>
      <c r="P42" s="13">
        <v>1.2130000000000001E-3</v>
      </c>
      <c r="Q42" s="13">
        <f t="shared" si="0"/>
        <v>2.1842697210000001E-3</v>
      </c>
      <c r="R42" s="13">
        <v>0.99804300000000001</v>
      </c>
      <c r="S42" s="13">
        <v>2.8279999999999998E-3</v>
      </c>
      <c r="T42" s="13">
        <f t="shared" si="6"/>
        <v>2.8224656039999999E-3</v>
      </c>
      <c r="U42" s="13">
        <v>1.7998130000000001</v>
      </c>
      <c r="V42" s="13">
        <v>5.6480000000000002E-3</v>
      </c>
      <c r="W42" s="13">
        <f t="shared" si="1"/>
        <v>1.0165343824E-2</v>
      </c>
      <c r="X42" s="13">
        <v>0.99888600000000005</v>
      </c>
      <c r="Y42" s="13">
        <v>3.4632000000000003E-2</v>
      </c>
      <c r="Z42" s="13">
        <f t="shared" si="2"/>
        <v>3.4593419952000007E-2</v>
      </c>
      <c r="AA42" s="15">
        <f t="shared" si="3"/>
        <v>8.8834071622999999E-2</v>
      </c>
      <c r="AB42" s="46">
        <f t="shared" si="7"/>
        <v>8.8834071622999999E-2</v>
      </c>
    </row>
    <row r="43" spans="1:28" x14ac:dyDescent="0.7">
      <c r="A43" s="8">
        <v>40</v>
      </c>
      <c r="B43" s="9">
        <v>19000</v>
      </c>
      <c r="C43" s="10">
        <v>-43.651387410928642</v>
      </c>
      <c r="D43" s="10">
        <f t="shared" si="4"/>
        <v>-13.376502443394671</v>
      </c>
      <c r="E43" s="10">
        <v>30.274884967533971</v>
      </c>
      <c r="F43" s="10">
        <f t="shared" si="8"/>
        <v>30.906447567533966</v>
      </c>
      <c r="G43" s="11" t="s">
        <v>42</v>
      </c>
      <c r="H43" s="51" t="s">
        <v>43</v>
      </c>
      <c r="I43" s="11"/>
      <c r="J43" s="10"/>
      <c r="K43" s="12"/>
      <c r="L43" s="13">
        <v>1.4999260000000001</v>
      </c>
      <c r="M43" s="13">
        <v>2.6033000000000001E-2</v>
      </c>
      <c r="N43" s="13">
        <f t="shared" si="5"/>
        <v>3.9047573558000002E-2</v>
      </c>
      <c r="O43" s="13">
        <v>1.8007169999999999</v>
      </c>
      <c r="P43" s="13">
        <v>1.2130000000000001E-3</v>
      </c>
      <c r="Q43" s="13">
        <f t="shared" si="0"/>
        <v>2.1842697210000001E-3</v>
      </c>
      <c r="R43" s="13">
        <v>0.99804300000000001</v>
      </c>
      <c r="S43" s="13">
        <v>2.8170000000000001E-3</v>
      </c>
      <c r="T43" s="13">
        <f t="shared" si="6"/>
        <v>2.811487131E-3</v>
      </c>
      <c r="U43" s="13">
        <v>1.7998130000000001</v>
      </c>
      <c r="V43" s="13">
        <v>5.6480000000000002E-3</v>
      </c>
      <c r="W43" s="13">
        <f t="shared" si="1"/>
        <v>1.0165343824E-2</v>
      </c>
      <c r="X43" s="13">
        <v>0.99888600000000005</v>
      </c>
      <c r="Y43" s="13">
        <v>3.4632000000000003E-2</v>
      </c>
      <c r="Z43" s="13">
        <f t="shared" si="2"/>
        <v>3.4593419952000007E-2</v>
      </c>
      <c r="AA43" s="15">
        <f t="shared" si="3"/>
        <v>8.8802094186000005E-2</v>
      </c>
      <c r="AB43" s="46">
        <f t="shared" si="7"/>
        <v>8.8802094186000005E-2</v>
      </c>
    </row>
    <row r="44" spans="1:28" x14ac:dyDescent="0.7">
      <c r="A44" s="8">
        <v>41</v>
      </c>
      <c r="B44" s="9">
        <v>19000</v>
      </c>
      <c r="C44" s="10">
        <v>-43.651387410928642</v>
      </c>
      <c r="D44" s="10">
        <f t="shared" si="4"/>
        <v>-13.457226543394672</v>
      </c>
      <c r="E44" s="10">
        <v>30.19416086753397</v>
      </c>
      <c r="F44" s="10">
        <f t="shared" si="8"/>
        <v>30.656447567533966</v>
      </c>
      <c r="G44" s="11" t="s">
        <v>42</v>
      </c>
      <c r="H44" s="51" t="s">
        <v>43</v>
      </c>
      <c r="I44" s="11"/>
      <c r="J44" s="10"/>
      <c r="K44" s="12"/>
      <c r="L44" s="13">
        <v>1.4999260000000001</v>
      </c>
      <c r="M44" s="13">
        <v>2.6047000000000001E-2</v>
      </c>
      <c r="N44" s="13">
        <f t="shared" si="5"/>
        <v>3.9068572522000002E-2</v>
      </c>
      <c r="O44" s="13">
        <v>1.8007169999999999</v>
      </c>
      <c r="P44" s="13">
        <v>1.2130000000000001E-3</v>
      </c>
      <c r="Q44" s="13">
        <f t="shared" si="0"/>
        <v>2.1842697210000001E-3</v>
      </c>
      <c r="R44" s="13">
        <v>0.99804300000000001</v>
      </c>
      <c r="S44" s="13">
        <v>2.8180000000000002E-3</v>
      </c>
      <c r="T44" s="13">
        <f t="shared" si="6"/>
        <v>2.8124851740000002E-3</v>
      </c>
      <c r="U44" s="13">
        <v>1.7998130000000001</v>
      </c>
      <c r="V44" s="13">
        <v>5.653E-3</v>
      </c>
      <c r="W44" s="13">
        <f t="shared" si="1"/>
        <v>1.0174342889000001E-2</v>
      </c>
      <c r="X44" s="13">
        <v>0.99888600000000005</v>
      </c>
      <c r="Y44" s="13">
        <v>3.4632000000000003E-2</v>
      </c>
      <c r="Z44" s="13">
        <f t="shared" si="2"/>
        <v>3.4593419952000007E-2</v>
      </c>
      <c r="AA44" s="15">
        <f t="shared" si="3"/>
        <v>8.8833090258000014E-2</v>
      </c>
      <c r="AB44" s="46">
        <f t="shared" si="7"/>
        <v>8.8833090258000014E-2</v>
      </c>
    </row>
    <row r="45" spans="1:28" x14ac:dyDescent="0.7">
      <c r="A45" s="8">
        <v>42</v>
      </c>
      <c r="B45" s="9">
        <v>19000</v>
      </c>
      <c r="C45" s="10">
        <v>-43.651387410928642</v>
      </c>
      <c r="D45" s="10">
        <f t="shared" si="4"/>
        <v>-13.496336143394672</v>
      </c>
      <c r="E45" s="10">
        <v>30.15505126753397</v>
      </c>
      <c r="F45" s="10">
        <f t="shared" si="8"/>
        <v>30.406447567533966</v>
      </c>
      <c r="G45" s="11" t="s">
        <v>42</v>
      </c>
      <c r="H45" s="51" t="s">
        <v>43</v>
      </c>
      <c r="I45" s="11"/>
      <c r="J45" s="10"/>
      <c r="K45" s="12"/>
      <c r="L45" s="13">
        <v>1.4999260000000001</v>
      </c>
      <c r="M45" s="13">
        <v>2.6048999999999999E-2</v>
      </c>
      <c r="N45" s="13">
        <f t="shared" si="5"/>
        <v>3.9071572374000003E-2</v>
      </c>
      <c r="O45" s="13">
        <v>1.8007169999999999</v>
      </c>
      <c r="P45" s="13">
        <v>1.2130000000000001E-3</v>
      </c>
      <c r="Q45" s="13">
        <f t="shared" si="0"/>
        <v>2.1842697210000001E-3</v>
      </c>
      <c r="R45" s="13">
        <v>0.99804300000000001</v>
      </c>
      <c r="S45" s="13">
        <v>2.8180000000000002E-3</v>
      </c>
      <c r="T45" s="13">
        <f t="shared" si="6"/>
        <v>2.8124851740000002E-3</v>
      </c>
      <c r="U45" s="13">
        <v>1.7998130000000001</v>
      </c>
      <c r="V45" s="13">
        <v>5.6480000000000002E-3</v>
      </c>
      <c r="W45" s="13">
        <f t="shared" si="1"/>
        <v>1.0165343824E-2</v>
      </c>
      <c r="X45" s="13">
        <v>0.99888600000000005</v>
      </c>
      <c r="Y45" s="13">
        <v>3.4632000000000003E-2</v>
      </c>
      <c r="Z45" s="13">
        <f t="shared" si="2"/>
        <v>3.4593419952000007E-2</v>
      </c>
      <c r="AA45" s="15">
        <f t="shared" si="3"/>
        <v>8.8827091045000001E-2</v>
      </c>
      <c r="AB45" s="46">
        <f t="shared" si="7"/>
        <v>8.8827091045000001E-2</v>
      </c>
    </row>
    <row r="46" spans="1:28" x14ac:dyDescent="0.7">
      <c r="A46" s="8">
        <v>43</v>
      </c>
      <c r="B46" s="9">
        <v>19000</v>
      </c>
      <c r="C46" s="10">
        <v>-43.651387410928642</v>
      </c>
      <c r="D46" s="10">
        <f t="shared" si="4"/>
        <v>-13.580577343394673</v>
      </c>
      <c r="E46" s="10">
        <v>30.070810067533969</v>
      </c>
      <c r="F46" s="10">
        <f t="shared" si="8"/>
        <v>30.156447567533966</v>
      </c>
      <c r="G46" s="11" t="s">
        <v>42</v>
      </c>
      <c r="H46" s="51" t="s">
        <v>43</v>
      </c>
      <c r="I46" s="11"/>
      <c r="J46" s="10"/>
      <c r="K46" s="12"/>
      <c r="L46" s="13">
        <v>1.4999260000000001</v>
      </c>
      <c r="M46" s="13">
        <v>2.6043E-2</v>
      </c>
      <c r="N46" s="13">
        <f t="shared" si="5"/>
        <v>3.9062572818000005E-2</v>
      </c>
      <c r="O46" s="13">
        <v>1.8007169999999999</v>
      </c>
      <c r="P46" s="13">
        <v>1.2130000000000001E-3</v>
      </c>
      <c r="Q46" s="13">
        <f t="shared" si="0"/>
        <v>2.1842697210000001E-3</v>
      </c>
      <c r="R46" s="13">
        <v>0.99804300000000001</v>
      </c>
      <c r="S46" s="13">
        <v>2.82E-3</v>
      </c>
      <c r="T46" s="13">
        <f t="shared" si="6"/>
        <v>2.81448126E-3</v>
      </c>
      <c r="U46" s="13">
        <v>1.7998130000000001</v>
      </c>
      <c r="V46" s="13">
        <v>5.6499999999999996E-3</v>
      </c>
      <c r="W46" s="13">
        <f t="shared" si="1"/>
        <v>1.0168943450000001E-2</v>
      </c>
      <c r="X46" s="13">
        <v>0.99888600000000005</v>
      </c>
      <c r="Y46" s="13">
        <v>3.4632000000000003E-2</v>
      </c>
      <c r="Z46" s="13">
        <f t="shared" si="2"/>
        <v>3.4593419952000007E-2</v>
      </c>
      <c r="AA46" s="15">
        <f t="shared" si="3"/>
        <v>8.8823687201000007E-2</v>
      </c>
      <c r="AB46" s="46">
        <f t="shared" si="7"/>
        <v>8.8823687201000007E-2</v>
      </c>
    </row>
    <row r="47" spans="1:28" x14ac:dyDescent="0.7">
      <c r="A47" s="8">
        <v>44</v>
      </c>
      <c r="B47" s="9">
        <v>19000</v>
      </c>
      <c r="C47" s="10">
        <v>-43.651387410928642</v>
      </c>
      <c r="D47" s="10">
        <f t="shared" si="4"/>
        <v>-14.521331043394671</v>
      </c>
      <c r="E47" s="10">
        <v>29.130056367533971</v>
      </c>
      <c r="F47" s="10">
        <f t="shared" si="8"/>
        <v>29.906447567533966</v>
      </c>
      <c r="G47" s="11" t="s">
        <v>42</v>
      </c>
      <c r="H47" s="51" t="s">
        <v>43</v>
      </c>
      <c r="I47" s="11"/>
      <c r="J47" s="10"/>
      <c r="K47" s="12"/>
      <c r="L47" s="13">
        <v>1.4999260000000001</v>
      </c>
      <c r="M47" s="13">
        <v>2.6036E-2</v>
      </c>
      <c r="N47" s="13">
        <f t="shared" si="5"/>
        <v>3.9052073336000005E-2</v>
      </c>
      <c r="O47" s="13">
        <v>1.799882</v>
      </c>
      <c r="P47" s="13">
        <v>1.2130000000000001E-3</v>
      </c>
      <c r="Q47" s="13">
        <f t="shared" si="0"/>
        <v>2.1832568660000002E-3</v>
      </c>
      <c r="R47" s="13">
        <v>0.99804300000000001</v>
      </c>
      <c r="S47" s="13">
        <v>2.8180000000000002E-3</v>
      </c>
      <c r="T47" s="13">
        <f t="shared" si="6"/>
        <v>2.8124851740000002E-3</v>
      </c>
      <c r="U47" s="13">
        <v>1.7998130000000001</v>
      </c>
      <c r="V47" s="13">
        <v>5.646E-3</v>
      </c>
      <c r="W47" s="13">
        <f t="shared" si="1"/>
        <v>1.0161744198E-2</v>
      </c>
      <c r="X47" s="13">
        <v>0.99888600000000005</v>
      </c>
      <c r="Y47" s="13">
        <v>3.4632000000000003E-2</v>
      </c>
      <c r="Z47" s="13">
        <f t="shared" si="2"/>
        <v>3.4593419952000007E-2</v>
      </c>
      <c r="AA47" s="15">
        <f t="shared" si="3"/>
        <v>8.8802979526000012E-2</v>
      </c>
      <c r="AB47" s="46">
        <f t="shared" si="7"/>
        <v>8.8802979526000012E-2</v>
      </c>
    </row>
    <row r="48" spans="1:28" x14ac:dyDescent="0.7">
      <c r="A48" s="8">
        <v>45</v>
      </c>
      <c r="B48" s="9">
        <v>19000</v>
      </c>
      <c r="C48" s="10">
        <v>-43.651387410928642</v>
      </c>
      <c r="D48" s="10">
        <f t="shared" si="4"/>
        <v>-14.577541243394673</v>
      </c>
      <c r="E48" s="10">
        <v>29.073846167533969</v>
      </c>
      <c r="F48" s="10">
        <f t="shared" si="8"/>
        <v>29.656447567533966</v>
      </c>
      <c r="G48" s="11" t="s">
        <v>42</v>
      </c>
      <c r="H48" s="51" t="s">
        <v>43</v>
      </c>
      <c r="I48" s="11"/>
      <c r="J48" s="10"/>
      <c r="K48" s="12"/>
      <c r="L48" s="13">
        <v>1.4999260000000001</v>
      </c>
      <c r="M48" s="13">
        <v>2.6026000000000001E-2</v>
      </c>
      <c r="N48" s="13">
        <f t="shared" si="5"/>
        <v>3.9037074076000003E-2</v>
      </c>
      <c r="O48" s="13">
        <v>1.8007169999999999</v>
      </c>
      <c r="P48" s="13">
        <v>1.2130000000000001E-3</v>
      </c>
      <c r="Q48" s="13">
        <f t="shared" si="0"/>
        <v>2.1842697210000001E-3</v>
      </c>
      <c r="R48" s="13">
        <v>0.99804300000000001</v>
      </c>
      <c r="S48" s="13">
        <v>2.82E-3</v>
      </c>
      <c r="T48" s="13">
        <f t="shared" si="6"/>
        <v>2.81448126E-3</v>
      </c>
      <c r="U48" s="13">
        <v>1.7998130000000001</v>
      </c>
      <c r="V48" s="13">
        <v>5.6480000000000002E-3</v>
      </c>
      <c r="W48" s="13">
        <f t="shared" si="1"/>
        <v>1.0165343824E-2</v>
      </c>
      <c r="X48" s="13">
        <v>0.99888600000000005</v>
      </c>
      <c r="Y48" s="13">
        <v>3.4696999999999999E-2</v>
      </c>
      <c r="Z48" s="13">
        <f t="shared" si="2"/>
        <v>3.4658347542E-2</v>
      </c>
      <c r="AA48" s="15">
        <f t="shared" si="3"/>
        <v>8.8859516422999996E-2</v>
      </c>
      <c r="AB48" s="46">
        <f t="shared" si="7"/>
        <v>8.8859516422999996E-2</v>
      </c>
    </row>
    <row r="49" spans="1:28" x14ac:dyDescent="0.7">
      <c r="A49" s="8">
        <v>46</v>
      </c>
      <c r="B49" s="9">
        <v>19000</v>
      </c>
      <c r="C49" s="10">
        <v>-43.651387410928642</v>
      </c>
      <c r="D49" s="10">
        <f t="shared" si="4"/>
        <v>-14.673588743394671</v>
      </c>
      <c r="E49" s="10">
        <v>28.977798667533971</v>
      </c>
      <c r="F49" s="10">
        <f t="shared" si="8"/>
        <v>29.406447567533966</v>
      </c>
      <c r="G49" s="11" t="s">
        <v>42</v>
      </c>
      <c r="H49" s="51" t="s">
        <v>43</v>
      </c>
      <c r="I49" s="11"/>
      <c r="J49" s="10"/>
      <c r="K49" s="12"/>
      <c r="L49" s="13">
        <v>1.4999260000000001</v>
      </c>
      <c r="M49" s="13">
        <v>2.6029E-2</v>
      </c>
      <c r="N49" s="13">
        <f t="shared" si="5"/>
        <v>3.9041573854000006E-2</v>
      </c>
      <c r="O49" s="13">
        <v>1.8007169999999999</v>
      </c>
      <c r="P49" s="13">
        <v>1.2130000000000001E-3</v>
      </c>
      <c r="Q49" s="13">
        <f t="shared" si="0"/>
        <v>2.1842697210000001E-3</v>
      </c>
      <c r="R49" s="13">
        <v>0.99804300000000001</v>
      </c>
      <c r="S49" s="13">
        <v>2.82E-3</v>
      </c>
      <c r="T49" s="13">
        <f t="shared" si="6"/>
        <v>2.81448126E-3</v>
      </c>
      <c r="U49" s="13">
        <v>1.7998130000000001</v>
      </c>
      <c r="V49" s="13">
        <v>5.6439999999999997E-3</v>
      </c>
      <c r="W49" s="13">
        <f t="shared" si="1"/>
        <v>1.0158144572E-2</v>
      </c>
      <c r="X49" s="13">
        <v>0.99888600000000005</v>
      </c>
      <c r="Y49" s="13">
        <v>3.4696999999999999E-2</v>
      </c>
      <c r="Z49" s="13">
        <f t="shared" si="2"/>
        <v>3.4658347542E-2</v>
      </c>
      <c r="AA49" s="15">
        <f t="shared" si="3"/>
        <v>8.8856816948999995E-2</v>
      </c>
      <c r="AB49" s="46">
        <f t="shared" si="7"/>
        <v>8.8856816948999995E-2</v>
      </c>
    </row>
    <row r="50" spans="1:28" x14ac:dyDescent="0.7">
      <c r="A50" s="8">
        <v>47</v>
      </c>
      <c r="B50" s="9">
        <v>19000</v>
      </c>
      <c r="C50" s="10">
        <v>-43.651387410928642</v>
      </c>
      <c r="D50" s="10">
        <f t="shared" si="4"/>
        <v>-14.730344043394673</v>
      </c>
      <c r="E50" s="10">
        <v>28.921043367533969</v>
      </c>
      <c r="F50" s="10">
        <f t="shared" si="8"/>
        <v>29.156447567533966</v>
      </c>
      <c r="G50" s="11" t="s">
        <v>42</v>
      </c>
      <c r="H50" s="51" t="s">
        <v>43</v>
      </c>
      <c r="I50" s="11"/>
      <c r="J50" s="10"/>
      <c r="K50" s="12"/>
      <c r="L50" s="13">
        <v>1.4999260000000001</v>
      </c>
      <c r="M50" s="13">
        <v>2.6023999999999999E-2</v>
      </c>
      <c r="N50" s="13">
        <f t="shared" si="5"/>
        <v>3.9034074224000001E-2</v>
      </c>
      <c r="O50" s="13">
        <v>1.8007169999999999</v>
      </c>
      <c r="P50" s="13">
        <v>1.2130000000000001E-3</v>
      </c>
      <c r="Q50" s="13">
        <f t="shared" si="0"/>
        <v>2.1842697210000001E-3</v>
      </c>
      <c r="R50" s="13">
        <v>0.99804300000000001</v>
      </c>
      <c r="S50" s="13">
        <v>2.8219999999999999E-3</v>
      </c>
      <c r="T50" s="13">
        <f t="shared" si="6"/>
        <v>2.8164773459999999E-3</v>
      </c>
      <c r="U50" s="13">
        <v>1.7998130000000001</v>
      </c>
      <c r="V50" s="13">
        <v>5.6499999999999996E-3</v>
      </c>
      <c r="W50" s="13">
        <f t="shared" si="1"/>
        <v>1.0168943450000001E-2</v>
      </c>
      <c r="X50" s="13">
        <v>0.99888600000000005</v>
      </c>
      <c r="Y50" s="13">
        <v>3.4696999999999999E-2</v>
      </c>
      <c r="Z50" s="13">
        <f t="shared" si="2"/>
        <v>3.4658347542E-2</v>
      </c>
      <c r="AA50" s="15">
        <f t="shared" si="3"/>
        <v>8.8862112283000005E-2</v>
      </c>
      <c r="AB50" s="46">
        <f t="shared" si="7"/>
        <v>8.8862112283000005E-2</v>
      </c>
    </row>
    <row r="51" spans="1:28" x14ac:dyDescent="0.7">
      <c r="A51" s="8">
        <v>48</v>
      </c>
      <c r="B51" s="9">
        <v>19000</v>
      </c>
      <c r="C51" s="10">
        <v>-43.651387410928642</v>
      </c>
      <c r="D51" s="10">
        <f t="shared" si="4"/>
        <v>-15.737029143394672</v>
      </c>
      <c r="E51" s="10">
        <v>27.91435826753397</v>
      </c>
      <c r="F51" s="10">
        <f t="shared" si="8"/>
        <v>28.906447567533966</v>
      </c>
      <c r="G51" s="11" t="s">
        <v>42</v>
      </c>
      <c r="H51" s="51" t="s">
        <v>43</v>
      </c>
      <c r="I51" s="11"/>
      <c r="J51" s="10"/>
      <c r="K51" s="12"/>
      <c r="L51" s="13">
        <v>1.4999260000000001</v>
      </c>
      <c r="M51" s="13">
        <v>2.6008E-2</v>
      </c>
      <c r="N51" s="13">
        <f t="shared" si="5"/>
        <v>3.9010075408E-2</v>
      </c>
      <c r="O51" s="13">
        <v>1.8007169999999999</v>
      </c>
      <c r="P51" s="13">
        <v>1.2130000000000001E-3</v>
      </c>
      <c r="Q51" s="13">
        <f t="shared" si="0"/>
        <v>2.1842697210000001E-3</v>
      </c>
      <c r="R51" s="13">
        <v>0.99804300000000001</v>
      </c>
      <c r="S51" s="13">
        <v>2.8180000000000002E-3</v>
      </c>
      <c r="T51" s="13">
        <f t="shared" si="6"/>
        <v>2.8124851740000002E-3</v>
      </c>
      <c r="U51" s="13">
        <v>1.7998130000000001</v>
      </c>
      <c r="V51" s="13">
        <v>5.6429999999999996E-3</v>
      </c>
      <c r="W51" s="13">
        <f t="shared" si="1"/>
        <v>1.0156344758999999E-2</v>
      </c>
      <c r="X51" s="13">
        <v>0.99888600000000005</v>
      </c>
      <c r="Y51" s="13">
        <v>3.4696999999999999E-2</v>
      </c>
      <c r="Z51" s="13">
        <f t="shared" si="2"/>
        <v>3.4658347542E-2</v>
      </c>
      <c r="AA51" s="15">
        <f t="shared" si="3"/>
        <v>8.8821522604000003E-2</v>
      </c>
      <c r="AB51" s="46">
        <f t="shared" si="7"/>
        <v>8.8821522604000003E-2</v>
      </c>
    </row>
    <row r="52" spans="1:28" x14ac:dyDescent="0.7">
      <c r="A52" s="8">
        <v>49</v>
      </c>
      <c r="B52" s="9">
        <v>19000</v>
      </c>
      <c r="C52" s="10">
        <v>-43.651387410928642</v>
      </c>
      <c r="D52" s="10">
        <f t="shared" si="4"/>
        <v>-15.807259943394673</v>
      </c>
      <c r="E52" s="10">
        <v>27.844127467533969</v>
      </c>
      <c r="F52" s="10">
        <f t="shared" si="8"/>
        <v>28.656447567533966</v>
      </c>
      <c r="G52" s="11" t="s">
        <v>42</v>
      </c>
      <c r="H52" s="51" t="s">
        <v>43</v>
      </c>
      <c r="I52" s="11"/>
      <c r="J52" s="10"/>
      <c r="K52" s="12"/>
      <c r="L52" s="13">
        <v>1.4999260000000001</v>
      </c>
      <c r="M52" s="13">
        <v>2.6016999999999998E-2</v>
      </c>
      <c r="N52" s="13">
        <f t="shared" si="5"/>
        <v>3.9023574742000001E-2</v>
      </c>
      <c r="O52" s="13">
        <v>1.8007169999999999</v>
      </c>
      <c r="P52" s="13">
        <v>1.2130000000000001E-3</v>
      </c>
      <c r="Q52" s="13">
        <f t="shared" si="0"/>
        <v>2.1842697210000001E-3</v>
      </c>
      <c r="R52" s="13">
        <v>0.99804300000000001</v>
      </c>
      <c r="S52" s="13">
        <v>2.82E-3</v>
      </c>
      <c r="T52" s="13">
        <f t="shared" si="6"/>
        <v>2.81448126E-3</v>
      </c>
      <c r="U52" s="13">
        <v>1.7998130000000001</v>
      </c>
      <c r="V52" s="13">
        <v>5.646E-3</v>
      </c>
      <c r="W52" s="13">
        <f t="shared" si="1"/>
        <v>1.0161744198E-2</v>
      </c>
      <c r="X52" s="13">
        <v>0.99888600000000005</v>
      </c>
      <c r="Y52" s="13">
        <v>3.4632000000000003E-2</v>
      </c>
      <c r="Z52" s="13">
        <f t="shared" si="2"/>
        <v>3.4593419952000007E-2</v>
      </c>
      <c r="AA52" s="15">
        <f t="shared" si="3"/>
        <v>8.8777489873000007E-2</v>
      </c>
      <c r="AB52" s="46">
        <f t="shared" si="7"/>
        <v>8.8777489873000007E-2</v>
      </c>
    </row>
    <row r="53" spans="1:28" x14ac:dyDescent="0.7">
      <c r="A53" s="8">
        <v>50</v>
      </c>
      <c r="B53" s="9">
        <v>19000</v>
      </c>
      <c r="C53" s="10">
        <v>-43.651387410928642</v>
      </c>
      <c r="D53" s="10">
        <f t="shared" si="4"/>
        <v>-15.907168643394673</v>
      </c>
      <c r="E53" s="10">
        <v>27.744218767533969</v>
      </c>
      <c r="F53" s="10">
        <f t="shared" si="8"/>
        <v>28.406447567533966</v>
      </c>
      <c r="G53" s="11" t="s">
        <v>42</v>
      </c>
      <c r="H53" s="51" t="s">
        <v>43</v>
      </c>
      <c r="I53" s="11"/>
      <c r="J53" s="10"/>
      <c r="K53" s="12"/>
      <c r="L53" s="13">
        <v>1.4999260000000001</v>
      </c>
      <c r="M53" s="13">
        <v>2.6013999999999999E-2</v>
      </c>
      <c r="N53" s="13">
        <f t="shared" si="5"/>
        <v>3.9019074963999999E-2</v>
      </c>
      <c r="O53" s="13">
        <v>1.8007169999999999</v>
      </c>
      <c r="P53" s="13">
        <v>1.2130000000000001E-3</v>
      </c>
      <c r="Q53" s="13">
        <f t="shared" si="0"/>
        <v>2.1842697210000001E-3</v>
      </c>
      <c r="R53" s="13">
        <v>0.99804300000000001</v>
      </c>
      <c r="S53" s="13">
        <v>2.8189999999999999E-3</v>
      </c>
      <c r="T53" s="13">
        <f t="shared" si="6"/>
        <v>2.8134832169999999E-3</v>
      </c>
      <c r="U53" s="13">
        <v>1.7998130000000001</v>
      </c>
      <c r="V53" s="13">
        <v>5.6480000000000002E-3</v>
      </c>
      <c r="W53" s="13">
        <f t="shared" si="1"/>
        <v>1.0165343824E-2</v>
      </c>
      <c r="X53" s="13">
        <v>0.99888600000000005</v>
      </c>
      <c r="Y53" s="13">
        <v>3.4696999999999999E-2</v>
      </c>
      <c r="Z53" s="13">
        <f t="shared" si="2"/>
        <v>3.4658347542E-2</v>
      </c>
      <c r="AA53" s="15">
        <f t="shared" si="3"/>
        <v>8.884051926799999E-2</v>
      </c>
      <c r="AB53" s="46">
        <f t="shared" si="7"/>
        <v>8.884051926799999E-2</v>
      </c>
    </row>
    <row r="54" spans="1:28" x14ac:dyDescent="0.7">
      <c r="A54" s="8">
        <v>51</v>
      </c>
      <c r="B54" s="9">
        <v>19000</v>
      </c>
      <c r="C54" s="10">
        <v>-43.651387410928642</v>
      </c>
      <c r="D54" s="10">
        <f t="shared" si="4"/>
        <v>-15.983328143394672</v>
      </c>
      <c r="E54" s="10">
        <v>27.66805926753397</v>
      </c>
      <c r="F54" s="10">
        <f t="shared" si="8"/>
        <v>28.156447567533966</v>
      </c>
      <c r="G54" s="11" t="s">
        <v>42</v>
      </c>
      <c r="H54" s="51" t="s">
        <v>43</v>
      </c>
      <c r="I54" s="11"/>
      <c r="J54" s="10"/>
      <c r="K54" s="12"/>
      <c r="L54" s="13">
        <v>1.4999260000000001</v>
      </c>
      <c r="M54" s="13">
        <v>2.6002999999999998E-2</v>
      </c>
      <c r="N54" s="13">
        <f t="shared" si="5"/>
        <v>3.9002575778000002E-2</v>
      </c>
      <c r="O54" s="13">
        <v>1.8007169999999999</v>
      </c>
      <c r="P54" s="13">
        <v>1.214E-3</v>
      </c>
      <c r="Q54" s="13">
        <f t="shared" si="0"/>
        <v>2.186070438E-3</v>
      </c>
      <c r="R54" s="13">
        <v>0.99804300000000001</v>
      </c>
      <c r="S54" s="13">
        <v>2.8210000000000002E-3</v>
      </c>
      <c r="T54" s="13">
        <f t="shared" si="6"/>
        <v>2.8154793030000002E-3</v>
      </c>
      <c r="U54" s="13">
        <v>1.7998130000000001</v>
      </c>
      <c r="V54" s="13">
        <v>5.6439999999999997E-3</v>
      </c>
      <c r="W54" s="13">
        <f t="shared" si="1"/>
        <v>1.0158144572E-2</v>
      </c>
      <c r="X54" s="13">
        <v>0.99888600000000005</v>
      </c>
      <c r="Y54" s="13">
        <v>3.4696999999999999E-2</v>
      </c>
      <c r="Z54" s="13">
        <f t="shared" si="2"/>
        <v>3.4658347542E-2</v>
      </c>
      <c r="AA54" s="15">
        <f t="shared" si="3"/>
        <v>8.8820617633000004E-2</v>
      </c>
      <c r="AB54" s="46">
        <f t="shared" si="7"/>
        <v>8.8820617633000004E-2</v>
      </c>
    </row>
    <row r="55" spans="1:28" x14ac:dyDescent="0.7">
      <c r="A55" s="8">
        <v>52</v>
      </c>
      <c r="B55" s="9">
        <v>19000</v>
      </c>
      <c r="C55" s="10">
        <v>-43.651387410928642</v>
      </c>
      <c r="D55" s="10">
        <f t="shared" si="4"/>
        <v>-16.95605444339467</v>
      </c>
      <c r="E55" s="10">
        <v>26.695332967533972</v>
      </c>
      <c r="F55" s="10">
        <f t="shared" si="8"/>
        <v>27.906447567533966</v>
      </c>
      <c r="G55" s="11" t="s">
        <v>42</v>
      </c>
      <c r="H55" s="51" t="s">
        <v>43</v>
      </c>
      <c r="I55" s="11"/>
      <c r="J55" s="10"/>
      <c r="K55" s="12"/>
      <c r="L55" s="13">
        <v>1.4999260000000001</v>
      </c>
      <c r="M55" s="13">
        <v>2.6016999999999998E-2</v>
      </c>
      <c r="N55" s="13">
        <f t="shared" si="5"/>
        <v>3.9023574742000001E-2</v>
      </c>
      <c r="O55" s="13">
        <v>1.8007169999999999</v>
      </c>
      <c r="P55" s="13">
        <v>1.2130000000000001E-3</v>
      </c>
      <c r="Q55" s="13">
        <f t="shared" si="0"/>
        <v>2.1842697210000001E-3</v>
      </c>
      <c r="R55" s="13">
        <v>0.99804300000000001</v>
      </c>
      <c r="S55" s="13">
        <v>2.8189999999999999E-3</v>
      </c>
      <c r="T55" s="13">
        <f t="shared" si="6"/>
        <v>2.8134832169999999E-3</v>
      </c>
      <c r="U55" s="13">
        <v>1.7998130000000001</v>
      </c>
      <c r="V55" s="13">
        <v>5.6410000000000002E-3</v>
      </c>
      <c r="W55" s="13">
        <f t="shared" si="1"/>
        <v>1.0152745133000001E-2</v>
      </c>
      <c r="X55" s="13">
        <v>0.99888600000000005</v>
      </c>
      <c r="Y55" s="13">
        <v>3.4696999999999999E-2</v>
      </c>
      <c r="Z55" s="13">
        <f t="shared" si="2"/>
        <v>3.4658347542E-2</v>
      </c>
      <c r="AA55" s="15">
        <f t="shared" si="3"/>
        <v>8.8832420354999997E-2</v>
      </c>
      <c r="AB55" s="46">
        <f t="shared" si="7"/>
        <v>8.8832420354999997E-2</v>
      </c>
    </row>
    <row r="56" spans="1:28" x14ac:dyDescent="0.7">
      <c r="A56" s="8">
        <v>53</v>
      </c>
      <c r="B56" s="9">
        <v>19000</v>
      </c>
      <c r="C56" s="10">
        <v>-43.651387410928642</v>
      </c>
      <c r="D56" s="10">
        <f t="shared" si="4"/>
        <v>-17.065555343394671</v>
      </c>
      <c r="E56" s="10">
        <v>26.585832067533971</v>
      </c>
      <c r="F56" s="10">
        <f>F55-0.25</f>
        <v>27.656447567533966</v>
      </c>
      <c r="G56" s="11" t="s">
        <v>42</v>
      </c>
      <c r="H56" s="51" t="s">
        <v>43</v>
      </c>
      <c r="I56" s="11"/>
      <c r="J56" s="10"/>
      <c r="K56" s="12"/>
      <c r="L56" s="13">
        <v>1.4999260000000001</v>
      </c>
      <c r="M56" s="13">
        <v>2.5995999999999998E-2</v>
      </c>
      <c r="N56" s="13">
        <f t="shared" si="5"/>
        <v>3.8992076296000003E-2</v>
      </c>
      <c r="O56" s="13">
        <v>1.8007169999999999</v>
      </c>
      <c r="P56" s="13">
        <v>1.214E-3</v>
      </c>
      <c r="Q56" s="13">
        <f t="shared" si="0"/>
        <v>2.186070438E-3</v>
      </c>
      <c r="R56" s="13">
        <v>0.99804300000000001</v>
      </c>
      <c r="S56" s="13">
        <v>2.8210000000000002E-3</v>
      </c>
      <c r="T56" s="13">
        <f t="shared" si="6"/>
        <v>2.8154793030000002E-3</v>
      </c>
      <c r="U56" s="13">
        <v>1.7998130000000001</v>
      </c>
      <c r="V56" s="13">
        <v>5.646E-3</v>
      </c>
      <c r="W56" s="13">
        <f t="shared" si="1"/>
        <v>1.0161744198E-2</v>
      </c>
      <c r="X56" s="13">
        <v>0.99888600000000005</v>
      </c>
      <c r="Y56" s="13">
        <v>3.4632000000000003E-2</v>
      </c>
      <c r="Z56" s="13">
        <f t="shared" si="2"/>
        <v>3.4593419952000007E-2</v>
      </c>
      <c r="AA56" s="15">
        <f t="shared" si="3"/>
        <v>8.8748790187000021E-2</v>
      </c>
      <c r="AB56" s="46">
        <f t="shared" si="7"/>
        <v>8.8748790187000021E-2</v>
      </c>
    </row>
    <row r="57" spans="1:28" x14ac:dyDescent="0.7">
      <c r="A57" s="8">
        <v>54</v>
      </c>
      <c r="B57" s="9">
        <v>19000</v>
      </c>
      <c r="C57" s="10">
        <v>-43.651387410928642</v>
      </c>
      <c r="D57" s="10">
        <f t="shared" si="4"/>
        <v>-17.150089843394671</v>
      </c>
      <c r="E57" s="10">
        <v>26.501297567533971</v>
      </c>
      <c r="F57" s="10">
        <f t="shared" si="8"/>
        <v>27.406447567533966</v>
      </c>
      <c r="G57" s="11" t="s">
        <v>42</v>
      </c>
      <c r="H57" s="51" t="s">
        <v>43</v>
      </c>
      <c r="I57" s="11"/>
      <c r="J57" s="10"/>
      <c r="K57" s="12"/>
      <c r="L57" s="13">
        <v>1.4999260000000001</v>
      </c>
      <c r="M57" s="13">
        <v>2.6012E-2</v>
      </c>
      <c r="N57" s="13">
        <f t="shared" si="5"/>
        <v>3.9016075112000004E-2</v>
      </c>
      <c r="O57" s="13">
        <v>1.8007169999999999</v>
      </c>
      <c r="P57" s="13">
        <v>1.2130000000000001E-3</v>
      </c>
      <c r="Q57" s="13">
        <f t="shared" si="0"/>
        <v>2.1842697210000001E-3</v>
      </c>
      <c r="R57" s="13">
        <v>0.99804300000000001</v>
      </c>
      <c r="S57" s="13">
        <v>2.8210000000000002E-3</v>
      </c>
      <c r="T57" s="13">
        <f t="shared" si="6"/>
        <v>2.8154793030000002E-3</v>
      </c>
      <c r="U57" s="13">
        <v>1.7998130000000001</v>
      </c>
      <c r="V57" s="13">
        <v>5.646E-3</v>
      </c>
      <c r="W57" s="13">
        <f t="shared" si="1"/>
        <v>1.0161744198E-2</v>
      </c>
      <c r="X57" s="13">
        <v>0.99888600000000005</v>
      </c>
      <c r="Y57" s="13">
        <v>3.4632000000000003E-2</v>
      </c>
      <c r="Z57" s="13">
        <f t="shared" si="2"/>
        <v>3.4593419952000007E-2</v>
      </c>
      <c r="AA57" s="15">
        <f t="shared" si="3"/>
        <v>8.877098828600001E-2</v>
      </c>
      <c r="AB57" s="46">
        <f t="shared" si="7"/>
        <v>8.877098828600001E-2</v>
      </c>
    </row>
    <row r="58" spans="1:28" x14ac:dyDescent="0.7">
      <c r="A58" s="8">
        <v>55</v>
      </c>
      <c r="B58" s="9">
        <v>19000</v>
      </c>
      <c r="C58" s="10">
        <v>-43.651387410928642</v>
      </c>
      <c r="D58" s="10">
        <f t="shared" si="4"/>
        <v>-17.207257943394673</v>
      </c>
      <c r="E58" s="10">
        <v>26.444129467533969</v>
      </c>
      <c r="F58" s="10">
        <f t="shared" si="8"/>
        <v>27.156447567533966</v>
      </c>
      <c r="G58" s="11" t="s">
        <v>42</v>
      </c>
      <c r="H58" s="51" t="s">
        <v>43</v>
      </c>
      <c r="I58" s="11"/>
      <c r="J58" s="10"/>
      <c r="K58" s="12"/>
      <c r="L58" s="13">
        <v>1.4999260000000001</v>
      </c>
      <c r="M58" s="13">
        <v>2.5994E-2</v>
      </c>
      <c r="N58" s="13">
        <f t="shared" si="5"/>
        <v>3.8989076444000001E-2</v>
      </c>
      <c r="O58" s="13">
        <v>1.8007169999999999</v>
      </c>
      <c r="P58" s="13">
        <v>1.2130000000000001E-3</v>
      </c>
      <c r="Q58" s="13">
        <f t="shared" si="0"/>
        <v>2.1842697210000001E-3</v>
      </c>
      <c r="R58" s="13">
        <v>0.99804300000000001</v>
      </c>
      <c r="S58" s="13">
        <v>2.823E-3</v>
      </c>
      <c r="T58" s="13">
        <f t="shared" si="6"/>
        <v>2.817475389E-3</v>
      </c>
      <c r="U58" s="13">
        <v>1.7998130000000001</v>
      </c>
      <c r="V58" s="13">
        <v>5.646E-3</v>
      </c>
      <c r="W58" s="13">
        <f t="shared" si="1"/>
        <v>1.0161744198E-2</v>
      </c>
      <c r="X58" s="13">
        <v>0.99888600000000005</v>
      </c>
      <c r="Y58" s="13">
        <v>3.4632000000000003E-2</v>
      </c>
      <c r="Z58" s="13">
        <f t="shared" si="2"/>
        <v>3.4593419952000007E-2</v>
      </c>
      <c r="AA58" s="15">
        <f t="shared" si="3"/>
        <v>8.8745985703999997E-2</v>
      </c>
      <c r="AB58" s="46">
        <f t="shared" si="7"/>
        <v>8.8745985703999997E-2</v>
      </c>
    </row>
    <row r="59" spans="1:28" x14ac:dyDescent="0.7">
      <c r="A59" s="8">
        <v>56</v>
      </c>
      <c r="B59" s="9">
        <v>19000</v>
      </c>
      <c r="C59" s="10">
        <v>-43.651387410928642</v>
      </c>
      <c r="D59" s="10">
        <f t="shared" si="4"/>
        <v>-17.984286343394672</v>
      </c>
      <c r="E59" s="10">
        <v>25.66710106753397</v>
      </c>
      <c r="F59" s="10">
        <f t="shared" si="8"/>
        <v>26.906447567533966</v>
      </c>
      <c r="G59" s="11" t="s">
        <v>42</v>
      </c>
      <c r="H59" s="51" t="s">
        <v>43</v>
      </c>
      <c r="I59" s="11"/>
      <c r="J59" s="10"/>
      <c r="K59" s="12"/>
      <c r="L59" s="13">
        <v>1.4999260000000001</v>
      </c>
      <c r="M59" s="13">
        <v>2.6009999999999998E-2</v>
      </c>
      <c r="N59" s="13">
        <f t="shared" si="5"/>
        <v>3.9013075260000002E-2</v>
      </c>
      <c r="O59" s="13">
        <v>1.8007169999999999</v>
      </c>
      <c r="P59" s="13">
        <v>1.2130000000000001E-3</v>
      </c>
      <c r="Q59" s="13">
        <f t="shared" si="0"/>
        <v>2.1842697210000001E-3</v>
      </c>
      <c r="R59" s="13">
        <v>0.99804300000000001</v>
      </c>
      <c r="S59" s="13">
        <v>2.8119999999999998E-3</v>
      </c>
      <c r="T59" s="13">
        <f t="shared" si="6"/>
        <v>2.8064969159999997E-3</v>
      </c>
      <c r="U59" s="13">
        <v>1.7998130000000001</v>
      </c>
      <c r="V59" s="13">
        <v>5.646E-3</v>
      </c>
      <c r="W59" s="13">
        <f t="shared" si="1"/>
        <v>1.0161744198E-2</v>
      </c>
      <c r="X59" s="13">
        <v>0.99888600000000005</v>
      </c>
      <c r="Y59" s="13">
        <v>3.4632000000000003E-2</v>
      </c>
      <c r="Z59" s="13">
        <f t="shared" si="2"/>
        <v>3.4593419952000007E-2</v>
      </c>
      <c r="AA59" s="15">
        <f t="shared" si="3"/>
        <v>8.8759006047000003E-2</v>
      </c>
      <c r="AB59" s="46">
        <f t="shared" si="7"/>
        <v>8.8759006047000003E-2</v>
      </c>
    </row>
    <row r="60" spans="1:28" x14ac:dyDescent="0.7">
      <c r="A60" s="8">
        <v>57</v>
      </c>
      <c r="B60" s="9">
        <v>19000</v>
      </c>
      <c r="C60" s="10">
        <v>-43.651387410928642</v>
      </c>
      <c r="D60" s="10">
        <f t="shared" si="4"/>
        <v>-18.10436974339467</v>
      </c>
      <c r="E60" s="10">
        <v>25.547017667533972</v>
      </c>
      <c r="F60" s="10">
        <f t="shared" si="8"/>
        <v>26.656447567533966</v>
      </c>
      <c r="G60" s="11" t="s">
        <v>42</v>
      </c>
      <c r="H60" s="51" t="s">
        <v>43</v>
      </c>
      <c r="I60" s="11"/>
      <c r="J60" s="10"/>
      <c r="K60" s="12"/>
      <c r="L60" s="13">
        <v>1.4999260000000001</v>
      </c>
      <c r="M60" s="13">
        <v>2.6001E-2</v>
      </c>
      <c r="N60" s="13">
        <f t="shared" si="5"/>
        <v>3.8999575926000001E-2</v>
      </c>
      <c r="O60" s="13">
        <v>1.8007169999999999</v>
      </c>
      <c r="P60" s="13">
        <v>1.2130000000000001E-3</v>
      </c>
      <c r="Q60" s="13">
        <f t="shared" si="0"/>
        <v>2.1842697210000001E-3</v>
      </c>
      <c r="R60" s="13">
        <v>0.99804300000000001</v>
      </c>
      <c r="S60" s="13">
        <v>2.8140000000000001E-3</v>
      </c>
      <c r="T60" s="13">
        <f t="shared" si="6"/>
        <v>2.808493002E-3</v>
      </c>
      <c r="U60" s="13">
        <v>1.7998130000000001</v>
      </c>
      <c r="V60" s="13">
        <v>5.6480000000000002E-3</v>
      </c>
      <c r="W60" s="13">
        <f t="shared" si="1"/>
        <v>1.0165343824E-2</v>
      </c>
      <c r="X60" s="13">
        <v>0.99888600000000005</v>
      </c>
      <c r="Y60" s="13">
        <v>3.4632000000000003E-2</v>
      </c>
      <c r="Z60" s="13">
        <f t="shared" si="2"/>
        <v>3.4593419952000007E-2</v>
      </c>
      <c r="AA60" s="15">
        <f t="shared" si="3"/>
        <v>8.8751102425000006E-2</v>
      </c>
      <c r="AB60" s="46">
        <f t="shared" si="7"/>
        <v>8.8751102425000006E-2</v>
      </c>
    </row>
    <row r="61" spans="1:28" x14ac:dyDescent="0.7">
      <c r="A61" s="8">
        <v>58</v>
      </c>
      <c r="B61" s="9">
        <v>19000</v>
      </c>
      <c r="C61" s="10">
        <v>-43.651387410928642</v>
      </c>
      <c r="D61" s="10">
        <f t="shared" si="4"/>
        <v>-18.161746543394671</v>
      </c>
      <c r="E61" s="10">
        <v>25.489640867533971</v>
      </c>
      <c r="F61" s="10">
        <f t="shared" si="8"/>
        <v>26.406447567533966</v>
      </c>
      <c r="G61" s="11" t="s">
        <v>42</v>
      </c>
      <c r="H61" s="51" t="s">
        <v>43</v>
      </c>
      <c r="I61" s="11"/>
      <c r="J61" s="10"/>
      <c r="K61" s="12"/>
      <c r="L61" s="13">
        <v>1.4999260000000001</v>
      </c>
      <c r="M61" s="13">
        <v>2.5994E-2</v>
      </c>
      <c r="N61" s="13">
        <f t="shared" si="5"/>
        <v>3.8989076444000001E-2</v>
      </c>
      <c r="O61" s="13">
        <v>1.8007169999999999</v>
      </c>
      <c r="P61" s="13">
        <v>1.2130000000000001E-3</v>
      </c>
      <c r="Q61" s="13">
        <f t="shared" si="0"/>
        <v>2.1842697210000001E-3</v>
      </c>
      <c r="R61" s="13">
        <v>0.99804300000000001</v>
      </c>
      <c r="S61" s="13">
        <v>2.8140000000000001E-3</v>
      </c>
      <c r="T61" s="13">
        <f t="shared" si="6"/>
        <v>2.808493002E-3</v>
      </c>
      <c r="U61" s="13">
        <v>1.7998130000000001</v>
      </c>
      <c r="V61" s="13">
        <v>5.6429999999999996E-3</v>
      </c>
      <c r="W61" s="13">
        <f t="shared" si="1"/>
        <v>1.0156344758999999E-2</v>
      </c>
      <c r="X61" s="13">
        <v>0.99888600000000005</v>
      </c>
      <c r="Y61" s="13">
        <v>3.4696999999999999E-2</v>
      </c>
      <c r="Z61" s="13">
        <f t="shared" si="2"/>
        <v>3.4658347542E-2</v>
      </c>
      <c r="AA61" s="15">
        <f t="shared" si="3"/>
        <v>8.8796531467999998E-2</v>
      </c>
      <c r="AB61" s="46">
        <f t="shared" si="7"/>
        <v>8.8796531467999998E-2</v>
      </c>
    </row>
    <row r="62" spans="1:28" x14ac:dyDescent="0.7">
      <c r="A62" s="8">
        <v>59</v>
      </c>
      <c r="B62" s="9">
        <v>19000</v>
      </c>
      <c r="C62" s="10">
        <v>-43.651387410928642</v>
      </c>
      <c r="D62" s="10">
        <f t="shared" si="4"/>
        <v>-18.285027543394673</v>
      </c>
      <c r="E62" s="10">
        <v>25.366359867533969</v>
      </c>
      <c r="F62" s="10">
        <f t="shared" si="8"/>
        <v>26.156447567533966</v>
      </c>
      <c r="G62" s="11" t="s">
        <v>42</v>
      </c>
      <c r="H62" s="51" t="s">
        <v>43</v>
      </c>
      <c r="I62" s="11"/>
      <c r="J62" s="10"/>
      <c r="K62" s="12"/>
      <c r="L62" s="13">
        <v>1.4999260000000001</v>
      </c>
      <c r="M62" s="13">
        <v>2.5994E-2</v>
      </c>
      <c r="N62" s="13">
        <f t="shared" si="5"/>
        <v>3.8989076444000001E-2</v>
      </c>
      <c r="O62" s="13">
        <v>1.8007169999999999</v>
      </c>
      <c r="P62" s="13">
        <v>1.2130000000000001E-3</v>
      </c>
      <c r="Q62" s="13">
        <f t="shared" si="0"/>
        <v>2.1842697210000001E-3</v>
      </c>
      <c r="R62" s="13">
        <v>0.99804300000000001</v>
      </c>
      <c r="S62" s="13">
        <v>2.8159999999999999E-3</v>
      </c>
      <c r="T62" s="13">
        <f t="shared" si="6"/>
        <v>2.8104890879999999E-3</v>
      </c>
      <c r="U62" s="13">
        <v>1.7998130000000001</v>
      </c>
      <c r="V62" s="13">
        <v>5.6439999999999997E-3</v>
      </c>
      <c r="W62" s="13">
        <f t="shared" si="1"/>
        <v>1.0158144572E-2</v>
      </c>
      <c r="X62" s="13">
        <v>0.99888600000000005</v>
      </c>
      <c r="Y62" s="13">
        <v>3.4696999999999999E-2</v>
      </c>
      <c r="Z62" s="13">
        <f t="shared" si="2"/>
        <v>3.4658347542E-2</v>
      </c>
      <c r="AA62" s="15">
        <f t="shared" si="3"/>
        <v>8.8800327366999998E-2</v>
      </c>
      <c r="AB62" s="46">
        <f t="shared" si="7"/>
        <v>8.8800327366999998E-2</v>
      </c>
    </row>
    <row r="63" spans="1:28" x14ac:dyDescent="0.7">
      <c r="A63" s="8">
        <v>60</v>
      </c>
      <c r="B63" s="9">
        <v>19000</v>
      </c>
      <c r="C63" s="10">
        <v>-43.651387410928642</v>
      </c>
      <c r="D63" s="10">
        <f t="shared" si="4"/>
        <v>-19.417349143394674</v>
      </c>
      <c r="E63" s="10">
        <v>24.234038267533968</v>
      </c>
      <c r="F63" s="10">
        <f t="shared" si="8"/>
        <v>25.906447567533966</v>
      </c>
      <c r="G63" s="11" t="s">
        <v>42</v>
      </c>
      <c r="H63" s="51" t="s">
        <v>43</v>
      </c>
      <c r="I63" s="11"/>
      <c r="J63" s="10"/>
      <c r="K63" s="12"/>
      <c r="L63" s="13">
        <v>1.4999260000000001</v>
      </c>
      <c r="M63" s="13">
        <v>2.6005E-2</v>
      </c>
      <c r="N63" s="13">
        <f t="shared" si="5"/>
        <v>3.9005575630000004E-2</v>
      </c>
      <c r="O63" s="13">
        <v>1.8007169999999999</v>
      </c>
      <c r="P63" s="13">
        <v>1.2130000000000001E-3</v>
      </c>
      <c r="Q63" s="13">
        <f t="shared" si="0"/>
        <v>2.1842697210000001E-3</v>
      </c>
      <c r="R63" s="13">
        <v>0.99804300000000001</v>
      </c>
      <c r="S63" s="13">
        <v>2.8140000000000001E-3</v>
      </c>
      <c r="T63" s="13">
        <f t="shared" si="6"/>
        <v>2.808493002E-3</v>
      </c>
      <c r="U63" s="13">
        <v>1.8000130000000001</v>
      </c>
      <c r="V63" s="13">
        <v>5.6480000000000002E-3</v>
      </c>
      <c r="W63" s="13">
        <f t="shared" si="1"/>
        <v>1.0166473424000001E-2</v>
      </c>
      <c r="X63" s="13">
        <v>0.99888600000000005</v>
      </c>
      <c r="Y63" s="13">
        <v>3.4696999999999999E-2</v>
      </c>
      <c r="Z63" s="13">
        <f t="shared" si="2"/>
        <v>3.4658347542E-2</v>
      </c>
      <c r="AA63" s="15">
        <f t="shared" si="3"/>
        <v>8.8823159319000006E-2</v>
      </c>
      <c r="AB63" s="46">
        <f t="shared" si="7"/>
        <v>8.8823159319000006E-2</v>
      </c>
    </row>
    <row r="64" spans="1:28" x14ac:dyDescent="0.7">
      <c r="A64" s="8">
        <v>61</v>
      </c>
      <c r="B64" s="9">
        <v>19000</v>
      </c>
      <c r="C64" s="10">
        <v>-43.651387410928642</v>
      </c>
      <c r="D64" s="10">
        <f t="shared" si="4"/>
        <v>-19.425057243394672</v>
      </c>
      <c r="E64" s="10">
        <v>24.22633016753397</v>
      </c>
      <c r="F64" s="10">
        <f>F63-0.25</f>
        <v>25.656447567533966</v>
      </c>
      <c r="G64" s="11" t="s">
        <v>42</v>
      </c>
      <c r="H64" s="51" t="s">
        <v>43</v>
      </c>
      <c r="I64" s="11"/>
      <c r="J64" s="10"/>
      <c r="K64" s="12"/>
      <c r="L64" s="13">
        <v>1.4999260000000001</v>
      </c>
      <c r="M64" s="13">
        <v>2.5994E-2</v>
      </c>
      <c r="N64" s="13">
        <f t="shared" si="5"/>
        <v>3.8989076444000001E-2</v>
      </c>
      <c r="O64" s="13">
        <v>1.8007169999999999</v>
      </c>
      <c r="P64" s="13">
        <v>1.2130000000000001E-3</v>
      </c>
      <c r="Q64" s="13">
        <f t="shared" si="0"/>
        <v>2.1842697210000001E-3</v>
      </c>
      <c r="R64" s="13">
        <v>0.99804300000000001</v>
      </c>
      <c r="S64" s="13">
        <v>2.8159999999999999E-3</v>
      </c>
      <c r="T64" s="13">
        <f t="shared" si="6"/>
        <v>2.8104890879999999E-3</v>
      </c>
      <c r="U64" s="13">
        <v>1.7998130000000001</v>
      </c>
      <c r="V64" s="13">
        <v>5.6480000000000002E-3</v>
      </c>
      <c r="W64" s="13">
        <f t="shared" si="1"/>
        <v>1.0165343824E-2</v>
      </c>
      <c r="X64" s="13">
        <v>0.99888600000000005</v>
      </c>
      <c r="Y64" s="13">
        <v>3.4696999999999999E-2</v>
      </c>
      <c r="Z64" s="13">
        <f t="shared" si="2"/>
        <v>3.4658347542E-2</v>
      </c>
      <c r="AA64" s="15">
        <f t="shared" si="3"/>
        <v>8.8807526619000002E-2</v>
      </c>
      <c r="AB64" s="46">
        <f t="shared" si="7"/>
        <v>8.8807526619000002E-2</v>
      </c>
    </row>
    <row r="65" spans="1:34" x14ac:dyDescent="0.7">
      <c r="A65" s="8">
        <v>62</v>
      </c>
      <c r="B65" s="9">
        <v>19000</v>
      </c>
      <c r="C65" s="10">
        <v>-43.651387410928642</v>
      </c>
      <c r="D65" s="10">
        <f t="shared" si="4"/>
        <v>-19.571000343394672</v>
      </c>
      <c r="E65" s="10">
        <v>24.08038706753397</v>
      </c>
      <c r="F65" s="10">
        <f t="shared" si="8"/>
        <v>25.406447567533966</v>
      </c>
      <c r="G65" s="11" t="s">
        <v>42</v>
      </c>
      <c r="H65" s="51" t="s">
        <v>43</v>
      </c>
      <c r="I65" s="11"/>
      <c r="J65" s="10"/>
      <c r="K65" s="12"/>
      <c r="L65" s="13">
        <v>1.4999260000000001</v>
      </c>
      <c r="M65" s="13">
        <v>2.5987E-2</v>
      </c>
      <c r="N65" s="13">
        <f t="shared" si="5"/>
        <v>3.8978576962000001E-2</v>
      </c>
      <c r="O65" s="13">
        <v>1.8007169999999999</v>
      </c>
      <c r="P65" s="13">
        <v>1.2130000000000001E-3</v>
      </c>
      <c r="Q65" s="13">
        <f t="shared" si="0"/>
        <v>2.1842697210000001E-3</v>
      </c>
      <c r="R65" s="13">
        <v>0.99804300000000001</v>
      </c>
      <c r="S65" s="13">
        <v>2.8159999999999999E-3</v>
      </c>
      <c r="T65" s="13">
        <f t="shared" si="6"/>
        <v>2.8104890879999999E-3</v>
      </c>
      <c r="U65" s="13">
        <v>1.8000130000000001</v>
      </c>
      <c r="V65" s="13">
        <v>5.646E-3</v>
      </c>
      <c r="W65" s="13">
        <f t="shared" si="1"/>
        <v>1.0162873398E-2</v>
      </c>
      <c r="X65" s="13">
        <v>0.99888600000000005</v>
      </c>
      <c r="Y65" s="13">
        <v>3.4696999999999999E-2</v>
      </c>
      <c r="Z65" s="13">
        <f t="shared" si="2"/>
        <v>3.4658347542E-2</v>
      </c>
      <c r="AA65" s="15">
        <f t="shared" si="3"/>
        <v>8.8794556711000006E-2</v>
      </c>
      <c r="AB65" s="46">
        <f t="shared" si="7"/>
        <v>8.8794556711000006E-2</v>
      </c>
    </row>
    <row r="66" spans="1:34" x14ac:dyDescent="0.7">
      <c r="A66" s="8">
        <v>63</v>
      </c>
      <c r="B66" s="9">
        <v>19000</v>
      </c>
      <c r="C66" s="10">
        <v>-43.651387410928642</v>
      </c>
      <c r="D66" s="10">
        <f t="shared" si="4"/>
        <v>-19.646484943394672</v>
      </c>
      <c r="E66" s="10">
        <v>24.00490246753397</v>
      </c>
      <c r="F66" s="10">
        <f t="shared" si="8"/>
        <v>25.156447567533966</v>
      </c>
      <c r="G66" s="11" t="s">
        <v>42</v>
      </c>
      <c r="H66" s="51" t="s">
        <v>43</v>
      </c>
      <c r="I66" s="11"/>
      <c r="J66" s="10"/>
      <c r="K66" s="12"/>
      <c r="L66" s="13">
        <v>1.5001260000000001</v>
      </c>
      <c r="M66" s="13">
        <v>2.5994E-2</v>
      </c>
      <c r="N66" s="13">
        <f t="shared" si="5"/>
        <v>3.8994275244000003E-2</v>
      </c>
      <c r="O66" s="13">
        <v>1.8007169999999999</v>
      </c>
      <c r="P66" s="13">
        <v>1.2130000000000001E-3</v>
      </c>
      <c r="Q66" s="13">
        <f t="shared" si="0"/>
        <v>2.1842697210000001E-3</v>
      </c>
      <c r="R66" s="13">
        <v>0.99804300000000001</v>
      </c>
      <c r="S66" s="13">
        <v>2.8180000000000002E-3</v>
      </c>
      <c r="T66" s="13">
        <f t="shared" si="6"/>
        <v>2.8124851740000002E-3</v>
      </c>
      <c r="U66" s="13">
        <v>1.7998130000000001</v>
      </c>
      <c r="V66" s="13">
        <v>5.646E-3</v>
      </c>
      <c r="W66" s="13">
        <f t="shared" si="1"/>
        <v>1.0161744198E-2</v>
      </c>
      <c r="X66" s="13">
        <v>0.99888600000000005</v>
      </c>
      <c r="Y66" s="13">
        <v>3.4632000000000003E-2</v>
      </c>
      <c r="Z66" s="13">
        <f t="shared" si="2"/>
        <v>3.4593419952000007E-2</v>
      </c>
      <c r="AA66" s="15">
        <f t="shared" si="3"/>
        <v>8.8746194289000005E-2</v>
      </c>
      <c r="AB66" s="46">
        <f t="shared" si="7"/>
        <v>8.8746194289000005E-2</v>
      </c>
    </row>
    <row r="67" spans="1:34" s="28" customFormat="1" x14ac:dyDescent="0.7">
      <c r="A67" s="21"/>
      <c r="B67" s="22"/>
      <c r="C67" s="23"/>
      <c r="D67" s="23"/>
      <c r="E67" s="23"/>
      <c r="F67" s="23"/>
      <c r="G67" s="24"/>
      <c r="H67" s="24"/>
      <c r="I67" s="24"/>
      <c r="J67" s="23"/>
      <c r="K67" s="25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6"/>
      <c r="Z67" s="26"/>
      <c r="AA67" s="27"/>
      <c r="AB67" s="46">
        <f t="shared" si="7"/>
        <v>0</v>
      </c>
    </row>
    <row r="68" spans="1:34" x14ac:dyDescent="0.7">
      <c r="A68" s="8">
        <v>0</v>
      </c>
      <c r="B68" s="9">
        <v>19000</v>
      </c>
      <c r="C68" s="15">
        <v>-43.651387410928642</v>
      </c>
      <c r="D68" s="10">
        <f t="shared" si="4"/>
        <v>-9.0117705433946753</v>
      </c>
      <c r="E68" s="10">
        <v>34.639616867533967</v>
      </c>
      <c r="F68" s="15">
        <f>E68</f>
        <v>34.639616867533967</v>
      </c>
      <c r="G68" s="11" t="s">
        <v>42</v>
      </c>
      <c r="H68" s="51" t="s">
        <v>43</v>
      </c>
      <c r="I68" s="12"/>
      <c r="J68" s="15"/>
      <c r="K68" s="12"/>
      <c r="L68" s="14">
        <v>1.4999260000000001</v>
      </c>
      <c r="M68" s="14">
        <v>2.6061000000000001E-2</v>
      </c>
      <c r="N68" s="13">
        <f t="shared" ref="N68:N100" si="9">L68*M68</f>
        <v>3.9089571486000001E-2</v>
      </c>
      <c r="O68" s="14">
        <v>1.8007169999999999</v>
      </c>
      <c r="P68" s="14">
        <v>1.3240000000000001E-3</v>
      </c>
      <c r="Q68" s="14">
        <v>2.2887113069999998E-3</v>
      </c>
      <c r="R68" s="14">
        <v>0.99804300000000001</v>
      </c>
      <c r="S68" s="14">
        <v>2.7959999999999999E-3</v>
      </c>
      <c r="T68" s="13">
        <f t="shared" ref="T68:T100" si="10">R68*S68</f>
        <v>2.790528228E-3</v>
      </c>
      <c r="U68" s="14">
        <v>1.8000130000000001</v>
      </c>
      <c r="V68" s="14">
        <v>5.646E-3</v>
      </c>
      <c r="W68" s="13">
        <f t="shared" ref="W68:W100" si="11">U68*V68</f>
        <v>1.0162873398E-2</v>
      </c>
      <c r="X68" s="14">
        <v>0.99888600000000005</v>
      </c>
      <c r="Y68" s="14">
        <v>3.4696999999999999E-2</v>
      </c>
      <c r="Z68" s="13">
        <f t="shared" ref="Z68:Z100" si="12">X68*Y68</f>
        <v>3.4658347542E-2</v>
      </c>
      <c r="AA68" s="14">
        <f t="shared" ref="AA68:AA100" si="13">N68+Q68+T68+W68+Z68</f>
        <v>8.8990031960999999E-2</v>
      </c>
      <c r="AB68" s="46">
        <f t="shared" ref="AB68:AB100" si="14">AA68-(AE66/1000)</f>
        <v>8.8990031960999999E-2</v>
      </c>
      <c r="AH68" s="31">
        <f>E68-E100</f>
        <v>8.0381930999999973</v>
      </c>
    </row>
    <row r="69" spans="1:34" x14ac:dyDescent="0.7">
      <c r="A69" s="8">
        <v>1</v>
      </c>
      <c r="B69" s="9">
        <v>19000</v>
      </c>
      <c r="C69" s="15">
        <v>-43.651387410928642</v>
      </c>
      <c r="D69" s="10">
        <f t="shared" si="4"/>
        <v>-9.2576463433946685</v>
      </c>
      <c r="E69" s="10">
        <v>34.393741067533973</v>
      </c>
      <c r="F69" s="15">
        <f>F68-0.25</f>
        <v>34.389616867533967</v>
      </c>
      <c r="G69" s="11" t="s">
        <v>42</v>
      </c>
      <c r="H69" s="51" t="s">
        <v>43</v>
      </c>
      <c r="I69" s="12"/>
      <c r="J69" s="15"/>
      <c r="K69" s="12"/>
      <c r="L69" s="14">
        <v>1.4999260000000001</v>
      </c>
      <c r="M69" s="14">
        <v>2.6082000000000001E-2</v>
      </c>
      <c r="N69" s="13">
        <f t="shared" si="9"/>
        <v>3.9121069932000006E-2</v>
      </c>
      <c r="O69" s="14">
        <v>1.8007169999999999</v>
      </c>
      <c r="P69" s="14">
        <v>1.323E-3</v>
      </c>
      <c r="Q69" s="14">
        <v>2.2869105899999999E-3</v>
      </c>
      <c r="R69" s="14">
        <v>0.99804300000000001</v>
      </c>
      <c r="S69" s="14">
        <v>2.8010000000000001E-3</v>
      </c>
      <c r="T69" s="13">
        <f t="shared" si="10"/>
        <v>2.7955184430000003E-3</v>
      </c>
      <c r="U69" s="14">
        <v>1.7998130000000001</v>
      </c>
      <c r="V69" s="14">
        <v>5.6499999999999996E-3</v>
      </c>
      <c r="W69" s="13">
        <f t="shared" si="11"/>
        <v>1.0168943450000001E-2</v>
      </c>
      <c r="X69" s="14">
        <v>0.99888600000000005</v>
      </c>
      <c r="Y69" s="14">
        <v>3.4763000000000002E-2</v>
      </c>
      <c r="Z69" s="13">
        <f t="shared" si="12"/>
        <v>3.4724274018000004E-2</v>
      </c>
      <c r="AA69" s="14">
        <f t="shared" si="13"/>
        <v>8.9096716433000017E-2</v>
      </c>
      <c r="AB69" s="46">
        <f t="shared" si="14"/>
        <v>8.9096716433000017E-2</v>
      </c>
    </row>
    <row r="70" spans="1:34" x14ac:dyDescent="0.7">
      <c r="A70" s="8">
        <v>2</v>
      </c>
      <c r="B70" s="9">
        <v>19000</v>
      </c>
      <c r="C70" s="15">
        <v>-43.651387410928642</v>
      </c>
      <c r="D70" s="10">
        <f t="shared" ref="D70:D100" si="15">C70+E70</f>
        <v>-9.4833650433946701</v>
      </c>
      <c r="E70" s="10">
        <v>34.168022367533972</v>
      </c>
      <c r="F70" s="15">
        <f t="shared" ref="F70:F100" si="16">F69-0.25</f>
        <v>34.139616867533967</v>
      </c>
      <c r="G70" s="11" t="s">
        <v>42</v>
      </c>
      <c r="H70" s="51" t="s">
        <v>43</v>
      </c>
      <c r="I70" s="12"/>
      <c r="J70" s="15"/>
      <c r="K70" s="12"/>
      <c r="L70" s="14">
        <v>1.4999260000000001</v>
      </c>
      <c r="M70" s="14">
        <v>2.6068000000000001E-2</v>
      </c>
      <c r="N70" s="13">
        <f t="shared" si="9"/>
        <v>3.9100070968000007E-2</v>
      </c>
      <c r="O70" s="14">
        <v>1.8007169999999999</v>
      </c>
      <c r="P70" s="14">
        <v>1.3240000000000001E-3</v>
      </c>
      <c r="Q70" s="14">
        <v>2.2869105899999999E-3</v>
      </c>
      <c r="R70" s="14">
        <v>0.99804300000000001</v>
      </c>
      <c r="S70" s="14">
        <v>2.8029999999999999E-3</v>
      </c>
      <c r="T70" s="13">
        <f t="shared" si="10"/>
        <v>2.7975145290000001E-3</v>
      </c>
      <c r="U70" s="14">
        <v>1.7998130000000001</v>
      </c>
      <c r="V70" s="14">
        <v>5.6480000000000002E-3</v>
      </c>
      <c r="W70" s="13">
        <f t="shared" si="11"/>
        <v>1.0165343824E-2</v>
      </c>
      <c r="X70" s="14">
        <v>0.99888600000000005</v>
      </c>
      <c r="Y70" s="14">
        <v>3.4763000000000002E-2</v>
      </c>
      <c r="Z70" s="13">
        <f t="shared" si="12"/>
        <v>3.4724274018000004E-2</v>
      </c>
      <c r="AA70" s="14">
        <f t="shared" si="13"/>
        <v>8.9074113929000012E-2</v>
      </c>
      <c r="AB70" s="46">
        <f t="shared" si="14"/>
        <v>8.9074113929000012E-2</v>
      </c>
    </row>
    <row r="71" spans="1:34" x14ac:dyDescent="0.7">
      <c r="A71" s="8">
        <v>3</v>
      </c>
      <c r="B71" s="9">
        <v>19000</v>
      </c>
      <c r="C71" s="15">
        <v>-43.651387410928642</v>
      </c>
      <c r="D71" s="10">
        <f t="shared" si="15"/>
        <v>-9.7176005433946742</v>
      </c>
      <c r="E71" s="10">
        <v>33.933786867533968</v>
      </c>
      <c r="F71" s="15">
        <f t="shared" si="16"/>
        <v>33.889616867533967</v>
      </c>
      <c r="G71" s="11" t="s">
        <v>42</v>
      </c>
      <c r="H71" s="51" t="s">
        <v>43</v>
      </c>
      <c r="I71" s="12"/>
      <c r="J71" s="15"/>
      <c r="K71" s="12"/>
      <c r="L71" s="14">
        <v>1.4999260000000001</v>
      </c>
      <c r="M71" s="14">
        <v>2.6048999999999999E-2</v>
      </c>
      <c r="N71" s="13">
        <f t="shared" si="9"/>
        <v>3.9071572374000003E-2</v>
      </c>
      <c r="O71" s="14">
        <v>1.8007169999999999</v>
      </c>
      <c r="P71" s="14">
        <v>1.3240000000000001E-3</v>
      </c>
      <c r="Q71" s="14">
        <v>2.2869105899999999E-3</v>
      </c>
      <c r="R71" s="14">
        <v>0.99804300000000001</v>
      </c>
      <c r="S71" s="14">
        <v>2.8040000000000001E-3</v>
      </c>
      <c r="T71" s="13">
        <f t="shared" si="10"/>
        <v>2.7985125720000003E-3</v>
      </c>
      <c r="U71" s="14">
        <v>1.8000130000000001</v>
      </c>
      <c r="V71" s="14">
        <v>5.646E-3</v>
      </c>
      <c r="W71" s="13">
        <f t="shared" si="11"/>
        <v>1.0162873398E-2</v>
      </c>
      <c r="X71" s="14">
        <v>0.99888600000000005</v>
      </c>
      <c r="Y71" s="14">
        <v>3.4828999999999999E-2</v>
      </c>
      <c r="Z71" s="13">
        <f t="shared" si="12"/>
        <v>3.4790200494000001E-2</v>
      </c>
      <c r="AA71" s="14">
        <f t="shared" si="13"/>
        <v>8.9110069428000011E-2</v>
      </c>
      <c r="AB71" s="46">
        <f t="shared" si="14"/>
        <v>8.9110069428000011E-2</v>
      </c>
    </row>
    <row r="72" spans="1:34" x14ac:dyDescent="0.7">
      <c r="A72" s="8">
        <v>4</v>
      </c>
      <c r="B72" s="9">
        <v>19000</v>
      </c>
      <c r="C72" s="15">
        <v>-43.651387410928642</v>
      </c>
      <c r="D72" s="10">
        <f t="shared" si="15"/>
        <v>-9.9026083433946752</v>
      </c>
      <c r="E72" s="10">
        <v>33.748779067533967</v>
      </c>
      <c r="F72" s="15">
        <f t="shared" si="16"/>
        <v>33.639616867533967</v>
      </c>
      <c r="G72" s="11" t="s">
        <v>42</v>
      </c>
      <c r="H72" s="51" t="s">
        <v>43</v>
      </c>
      <c r="I72" s="12"/>
      <c r="J72" s="15"/>
      <c r="K72" s="12"/>
      <c r="L72" s="14">
        <v>1.4999260000000001</v>
      </c>
      <c r="M72" s="14">
        <v>2.6033000000000001E-2</v>
      </c>
      <c r="N72" s="13">
        <f t="shared" si="9"/>
        <v>3.9047573558000002E-2</v>
      </c>
      <c r="O72" s="14">
        <v>1.8007169999999999</v>
      </c>
      <c r="P72" s="14">
        <v>1.3240000000000001E-3</v>
      </c>
      <c r="Q72" s="14">
        <v>2.2869105899999999E-3</v>
      </c>
      <c r="R72" s="14">
        <v>0.99804300000000001</v>
      </c>
      <c r="S72" s="14">
        <v>2.8029999999999999E-3</v>
      </c>
      <c r="T72" s="13">
        <f t="shared" si="10"/>
        <v>2.7975145290000001E-3</v>
      </c>
      <c r="U72" s="14">
        <v>1.8000130000000001</v>
      </c>
      <c r="V72" s="14">
        <v>5.646E-3</v>
      </c>
      <c r="W72" s="13">
        <f t="shared" si="11"/>
        <v>1.0162873398E-2</v>
      </c>
      <c r="X72" s="14">
        <v>0.99888600000000005</v>
      </c>
      <c r="Y72" s="14">
        <v>3.4763000000000002E-2</v>
      </c>
      <c r="Z72" s="13">
        <f t="shared" si="12"/>
        <v>3.4724274018000004E-2</v>
      </c>
      <c r="AA72" s="14">
        <f t="shared" si="13"/>
        <v>8.9019146093000004E-2</v>
      </c>
      <c r="AB72" s="46">
        <f t="shared" si="14"/>
        <v>8.9019146093000004E-2</v>
      </c>
    </row>
    <row r="73" spans="1:34" x14ac:dyDescent="0.7">
      <c r="A73" s="8">
        <v>5</v>
      </c>
      <c r="B73" s="9">
        <v>19000</v>
      </c>
      <c r="C73" s="15">
        <v>-43.651387410928642</v>
      </c>
      <c r="D73" s="10">
        <f t="shared" si="15"/>
        <v>-10.161045143394659</v>
      </c>
      <c r="E73" s="10">
        <v>33.490342267533983</v>
      </c>
      <c r="F73" s="15">
        <f t="shared" si="16"/>
        <v>33.389616867533967</v>
      </c>
      <c r="G73" s="11" t="s">
        <v>42</v>
      </c>
      <c r="H73" s="51" t="s">
        <v>43</v>
      </c>
      <c r="I73" s="12"/>
      <c r="J73" s="15"/>
      <c r="K73" s="12"/>
      <c r="L73" s="14">
        <v>1.4999260000000001</v>
      </c>
      <c r="M73" s="14">
        <v>2.6033000000000001E-2</v>
      </c>
      <c r="N73" s="13">
        <f t="shared" si="9"/>
        <v>3.9047573558000002E-2</v>
      </c>
      <c r="O73" s="14">
        <v>1.8007169999999999</v>
      </c>
      <c r="P73" s="14">
        <v>1.325E-3</v>
      </c>
      <c r="Q73" s="14">
        <v>2.2887113069999998E-3</v>
      </c>
      <c r="R73" s="14">
        <v>0.99804300000000001</v>
      </c>
      <c r="S73" s="14">
        <v>2.8040000000000001E-3</v>
      </c>
      <c r="T73" s="13">
        <f t="shared" si="10"/>
        <v>2.7985125720000003E-3</v>
      </c>
      <c r="U73" s="14">
        <v>1.7998130000000001</v>
      </c>
      <c r="V73" s="14">
        <v>5.653E-3</v>
      </c>
      <c r="W73" s="13">
        <f t="shared" si="11"/>
        <v>1.0174342889000001E-2</v>
      </c>
      <c r="X73" s="14">
        <v>0.99888600000000005</v>
      </c>
      <c r="Y73" s="14">
        <v>3.4763000000000002E-2</v>
      </c>
      <c r="Z73" s="13">
        <f t="shared" si="12"/>
        <v>3.4724274018000004E-2</v>
      </c>
      <c r="AA73" s="14">
        <f t="shared" si="13"/>
        <v>8.9033414344E-2</v>
      </c>
      <c r="AB73" s="46">
        <f t="shared" si="14"/>
        <v>8.9033414344E-2</v>
      </c>
    </row>
    <row r="74" spans="1:34" x14ac:dyDescent="0.7">
      <c r="A74" s="8">
        <v>6</v>
      </c>
      <c r="B74" s="9">
        <v>19000</v>
      </c>
      <c r="C74" s="15">
        <v>-43.651387410928642</v>
      </c>
      <c r="D74" s="10">
        <f t="shared" si="15"/>
        <v>-10.373813943394673</v>
      </c>
      <c r="E74" s="10">
        <v>33.277573467533969</v>
      </c>
      <c r="F74" s="15">
        <f t="shared" si="16"/>
        <v>33.139616867533967</v>
      </c>
      <c r="G74" s="11" t="s">
        <v>42</v>
      </c>
      <c r="H74" s="51" t="s">
        <v>43</v>
      </c>
      <c r="I74" s="12"/>
      <c r="J74" s="15"/>
      <c r="K74" s="12"/>
      <c r="L74" s="14">
        <v>1.4999260000000001</v>
      </c>
      <c r="M74" s="14">
        <v>2.6023999999999999E-2</v>
      </c>
      <c r="N74" s="13">
        <f t="shared" si="9"/>
        <v>3.9034074224000001E-2</v>
      </c>
      <c r="O74" s="14">
        <v>1.8007169999999999</v>
      </c>
      <c r="P74" s="14">
        <v>1.3240000000000001E-3</v>
      </c>
      <c r="Q74" s="14">
        <v>2.2869105899999999E-3</v>
      </c>
      <c r="R74" s="14">
        <v>0.99804300000000001</v>
      </c>
      <c r="S74" s="14">
        <v>2.8059999999999999E-3</v>
      </c>
      <c r="T74" s="13">
        <f t="shared" si="10"/>
        <v>2.8005086580000001E-3</v>
      </c>
      <c r="U74" s="14">
        <v>1.8000130000000001</v>
      </c>
      <c r="V74" s="14">
        <v>5.6519999999999999E-3</v>
      </c>
      <c r="W74" s="13">
        <f t="shared" si="11"/>
        <v>1.0173673476000001E-2</v>
      </c>
      <c r="X74" s="14">
        <v>0.99888600000000005</v>
      </c>
      <c r="Y74" s="14">
        <v>3.4763000000000002E-2</v>
      </c>
      <c r="Z74" s="13">
        <f t="shared" si="12"/>
        <v>3.4724274018000004E-2</v>
      </c>
      <c r="AA74" s="14">
        <f t="shared" si="13"/>
        <v>8.9019440966000007E-2</v>
      </c>
      <c r="AB74" s="46">
        <f t="shared" si="14"/>
        <v>8.9019440966000007E-2</v>
      </c>
    </row>
    <row r="75" spans="1:34" x14ac:dyDescent="0.7">
      <c r="A75" s="8">
        <v>7</v>
      </c>
      <c r="B75" s="9">
        <v>19000</v>
      </c>
      <c r="C75" s="15">
        <v>-43.651387410928642</v>
      </c>
      <c r="D75" s="10">
        <f t="shared" si="15"/>
        <v>-10.612472743394669</v>
      </c>
      <c r="E75" s="10">
        <v>33.038914667533973</v>
      </c>
      <c r="F75" s="15">
        <f t="shared" si="16"/>
        <v>32.889616867533967</v>
      </c>
      <c r="G75" s="11" t="s">
        <v>42</v>
      </c>
      <c r="H75" s="51" t="s">
        <v>43</v>
      </c>
      <c r="I75" s="12"/>
      <c r="J75" s="15"/>
      <c r="K75" s="12"/>
      <c r="L75" s="14">
        <v>1.4999260000000001</v>
      </c>
      <c r="M75" s="14">
        <v>2.6008E-2</v>
      </c>
      <c r="N75" s="13">
        <f t="shared" si="9"/>
        <v>3.9010075408E-2</v>
      </c>
      <c r="O75" s="14">
        <v>1.8007169999999999</v>
      </c>
      <c r="P75" s="14">
        <v>1.3240000000000001E-3</v>
      </c>
      <c r="Q75" s="14">
        <v>2.2869105899999999E-3</v>
      </c>
      <c r="R75" s="14">
        <v>0.99804300000000001</v>
      </c>
      <c r="S75" s="14">
        <v>2.8059999999999999E-3</v>
      </c>
      <c r="T75" s="13">
        <f t="shared" si="10"/>
        <v>2.8005086580000001E-3</v>
      </c>
      <c r="U75" s="14">
        <v>1.7998130000000001</v>
      </c>
      <c r="V75" s="14">
        <v>5.646E-3</v>
      </c>
      <c r="W75" s="13">
        <f t="shared" si="11"/>
        <v>1.0161744198E-2</v>
      </c>
      <c r="X75" s="14">
        <v>0.99888600000000005</v>
      </c>
      <c r="Y75" s="14">
        <v>3.4763000000000002E-2</v>
      </c>
      <c r="Z75" s="13">
        <f t="shared" si="12"/>
        <v>3.4724274018000004E-2</v>
      </c>
      <c r="AA75" s="14">
        <f t="shared" si="13"/>
        <v>8.8983512872000001E-2</v>
      </c>
      <c r="AB75" s="46">
        <f t="shared" si="14"/>
        <v>8.8983512872000001E-2</v>
      </c>
    </row>
    <row r="76" spans="1:34" x14ac:dyDescent="0.7">
      <c r="A76" s="8">
        <v>8</v>
      </c>
      <c r="B76" s="9">
        <v>19000</v>
      </c>
      <c r="C76" s="15">
        <v>-43.651387410928642</v>
      </c>
      <c r="D76" s="10">
        <f t="shared" si="15"/>
        <v>-11.013646843394675</v>
      </c>
      <c r="E76" s="10">
        <v>32.637740567533967</v>
      </c>
      <c r="F76" s="15">
        <f t="shared" si="16"/>
        <v>32.639616867533967</v>
      </c>
      <c r="G76" s="11" t="s">
        <v>42</v>
      </c>
      <c r="H76" s="51" t="s">
        <v>43</v>
      </c>
      <c r="I76" s="12"/>
      <c r="J76" s="15"/>
      <c r="K76" s="12"/>
      <c r="L76" s="14">
        <v>1.4999260000000001</v>
      </c>
      <c r="M76" s="14">
        <v>2.6009999999999998E-2</v>
      </c>
      <c r="N76" s="13">
        <f t="shared" si="9"/>
        <v>3.9013075260000002E-2</v>
      </c>
      <c r="O76" s="14">
        <v>1.8007169999999999</v>
      </c>
      <c r="P76" s="14">
        <v>1.323E-3</v>
      </c>
      <c r="Q76" s="14">
        <v>2.2869105899999999E-3</v>
      </c>
      <c r="R76" s="14">
        <v>0.99804300000000001</v>
      </c>
      <c r="S76" s="14">
        <v>2.7959999999999999E-3</v>
      </c>
      <c r="T76" s="13">
        <f t="shared" si="10"/>
        <v>2.790528228E-3</v>
      </c>
      <c r="U76" s="14">
        <v>1.8000130000000001</v>
      </c>
      <c r="V76" s="14">
        <v>5.6410000000000002E-3</v>
      </c>
      <c r="W76" s="13">
        <f t="shared" si="11"/>
        <v>1.0153873333000002E-2</v>
      </c>
      <c r="X76" s="14">
        <v>0.99888600000000005</v>
      </c>
      <c r="Y76" s="14">
        <v>3.4763000000000002E-2</v>
      </c>
      <c r="Z76" s="13">
        <f t="shared" si="12"/>
        <v>3.4724274018000004E-2</v>
      </c>
      <c r="AA76" s="14">
        <f t="shared" si="13"/>
        <v>8.8968661429000007E-2</v>
      </c>
      <c r="AB76" s="46">
        <f t="shared" si="14"/>
        <v>8.8968661429000007E-2</v>
      </c>
    </row>
    <row r="77" spans="1:34" x14ac:dyDescent="0.7">
      <c r="A77" s="8">
        <v>9</v>
      </c>
      <c r="B77" s="9">
        <v>19000</v>
      </c>
      <c r="C77" s="15">
        <v>-43.651387410928642</v>
      </c>
      <c r="D77" s="10">
        <f t="shared" si="15"/>
        <v>-11.27293644339467</v>
      </c>
      <c r="E77" s="10">
        <v>32.378450967533972</v>
      </c>
      <c r="F77" s="15">
        <f t="shared" si="16"/>
        <v>32.389616867533967</v>
      </c>
      <c r="G77" s="11" t="s">
        <v>42</v>
      </c>
      <c r="H77" s="51" t="s">
        <v>43</v>
      </c>
      <c r="I77" s="12"/>
      <c r="J77" s="15"/>
      <c r="K77" s="12"/>
      <c r="L77" s="14">
        <v>1.4999260000000001</v>
      </c>
      <c r="M77" s="14">
        <v>2.5994E-2</v>
      </c>
      <c r="N77" s="13">
        <f t="shared" si="9"/>
        <v>3.8989076444000001E-2</v>
      </c>
      <c r="O77" s="14">
        <v>1.8007169999999999</v>
      </c>
      <c r="P77" s="14">
        <v>1.3240000000000001E-3</v>
      </c>
      <c r="Q77" s="14">
        <v>2.2869105899999999E-3</v>
      </c>
      <c r="R77" s="14">
        <v>0.99804300000000001</v>
      </c>
      <c r="S77" s="14">
        <v>2.797E-3</v>
      </c>
      <c r="T77" s="13">
        <f t="shared" si="10"/>
        <v>2.7915262710000001E-3</v>
      </c>
      <c r="U77" s="14">
        <v>1.7998130000000001</v>
      </c>
      <c r="V77" s="14">
        <v>5.6429999999999996E-3</v>
      </c>
      <c r="W77" s="13">
        <f t="shared" si="11"/>
        <v>1.0156344758999999E-2</v>
      </c>
      <c r="X77" s="14">
        <v>0.99888600000000005</v>
      </c>
      <c r="Y77" s="14">
        <v>3.4763000000000002E-2</v>
      </c>
      <c r="Z77" s="13">
        <f t="shared" si="12"/>
        <v>3.4724274018000004E-2</v>
      </c>
      <c r="AA77" s="14">
        <f t="shared" si="13"/>
        <v>8.8948132082000003E-2</v>
      </c>
      <c r="AB77" s="46">
        <f t="shared" si="14"/>
        <v>8.8948132082000003E-2</v>
      </c>
    </row>
    <row r="78" spans="1:34" x14ac:dyDescent="0.7">
      <c r="A78" s="8">
        <v>10</v>
      </c>
      <c r="B78" s="9">
        <v>19000</v>
      </c>
      <c r="C78" s="15">
        <v>-43.651387410928642</v>
      </c>
      <c r="D78" s="10">
        <f t="shared" si="15"/>
        <v>-11.499340743394669</v>
      </c>
      <c r="E78" s="10">
        <v>32.152046667533973</v>
      </c>
      <c r="F78" s="15">
        <f t="shared" si="16"/>
        <v>32.139616867533967</v>
      </c>
      <c r="G78" s="11" t="s">
        <v>42</v>
      </c>
      <c r="H78" s="51" t="s">
        <v>43</v>
      </c>
      <c r="I78" s="12"/>
      <c r="J78" s="15"/>
      <c r="K78" s="12"/>
      <c r="L78" s="14">
        <v>1.4999260000000001</v>
      </c>
      <c r="M78" s="14">
        <v>2.5992000000000001E-2</v>
      </c>
      <c r="N78" s="13">
        <f t="shared" si="9"/>
        <v>3.8986076592000006E-2</v>
      </c>
      <c r="O78" s="14">
        <v>1.8007169999999999</v>
      </c>
      <c r="P78" s="14">
        <v>1.3240000000000001E-3</v>
      </c>
      <c r="Q78" s="14">
        <v>2.2869105899999999E-3</v>
      </c>
      <c r="R78" s="14">
        <v>0.99804300000000001</v>
      </c>
      <c r="S78" s="14">
        <v>2.7989999999999998E-3</v>
      </c>
      <c r="T78" s="13">
        <f t="shared" si="10"/>
        <v>2.793522357E-3</v>
      </c>
      <c r="U78" s="14">
        <v>1.7998130000000001</v>
      </c>
      <c r="V78" s="14">
        <v>5.646E-3</v>
      </c>
      <c r="W78" s="13">
        <f t="shared" si="11"/>
        <v>1.0161744198E-2</v>
      </c>
      <c r="X78" s="14">
        <v>0.99888600000000005</v>
      </c>
      <c r="Y78" s="14">
        <v>3.4696999999999999E-2</v>
      </c>
      <c r="Z78" s="13">
        <f t="shared" si="12"/>
        <v>3.4658347542E-2</v>
      </c>
      <c r="AA78" s="14">
        <f t="shared" si="13"/>
        <v>8.8886601278999999E-2</v>
      </c>
      <c r="AB78" s="46">
        <f t="shared" si="14"/>
        <v>8.8886601278999999E-2</v>
      </c>
    </row>
    <row r="79" spans="1:34" x14ac:dyDescent="0.7">
      <c r="A79" s="8">
        <v>11</v>
      </c>
      <c r="B79" s="9">
        <v>19000</v>
      </c>
      <c r="C79" s="15">
        <v>-43.651387410928642</v>
      </c>
      <c r="D79" s="10">
        <f t="shared" si="15"/>
        <v>-11.754124443394673</v>
      </c>
      <c r="E79" s="10">
        <v>31.897262967533969</v>
      </c>
      <c r="F79" s="15">
        <f t="shared" si="16"/>
        <v>31.889616867533967</v>
      </c>
      <c r="G79" s="11" t="s">
        <v>42</v>
      </c>
      <c r="H79" s="51" t="s">
        <v>43</v>
      </c>
      <c r="I79" s="12"/>
      <c r="J79" s="15"/>
      <c r="K79" s="12"/>
      <c r="L79" s="14">
        <v>1.4999260000000001</v>
      </c>
      <c r="M79" s="14">
        <v>2.5991E-2</v>
      </c>
      <c r="N79" s="13">
        <f t="shared" si="9"/>
        <v>3.8984576666000005E-2</v>
      </c>
      <c r="O79" s="14">
        <v>1.8007169999999999</v>
      </c>
      <c r="P79" s="14">
        <v>1.3240000000000001E-3</v>
      </c>
      <c r="Q79" s="14">
        <v>2.2869105899999999E-3</v>
      </c>
      <c r="R79" s="14">
        <v>0.99804300000000001</v>
      </c>
      <c r="S79" s="14">
        <v>2.7989999999999998E-3</v>
      </c>
      <c r="T79" s="13">
        <f t="shared" si="10"/>
        <v>2.793522357E-3</v>
      </c>
      <c r="U79" s="14">
        <v>1.7998130000000001</v>
      </c>
      <c r="V79" s="14">
        <v>5.6439999999999997E-3</v>
      </c>
      <c r="W79" s="13">
        <f t="shared" si="11"/>
        <v>1.0158144572E-2</v>
      </c>
      <c r="X79" s="14">
        <v>0.99805100000000002</v>
      </c>
      <c r="Y79" s="14">
        <v>3.4763000000000002E-2</v>
      </c>
      <c r="Z79" s="13">
        <f t="shared" si="12"/>
        <v>3.4695246913000001E-2</v>
      </c>
      <c r="AA79" s="14">
        <f t="shared" si="13"/>
        <v>8.8918401098000005E-2</v>
      </c>
      <c r="AB79" s="46">
        <f t="shared" si="14"/>
        <v>8.8918401098000005E-2</v>
      </c>
    </row>
    <row r="80" spans="1:34" x14ac:dyDescent="0.7">
      <c r="A80" s="8">
        <v>12</v>
      </c>
      <c r="B80" s="9">
        <v>19000</v>
      </c>
      <c r="C80" s="15">
        <v>-43.651387410928642</v>
      </c>
      <c r="D80" s="10">
        <f t="shared" si="15"/>
        <v>-11.894053243394673</v>
      </c>
      <c r="E80" s="10">
        <v>31.757334167533969</v>
      </c>
      <c r="F80" s="15">
        <f t="shared" si="16"/>
        <v>31.639616867533967</v>
      </c>
      <c r="G80" s="11" t="s">
        <v>42</v>
      </c>
      <c r="H80" s="51" t="s">
        <v>43</v>
      </c>
      <c r="I80" s="12"/>
      <c r="J80" s="15"/>
      <c r="K80" s="12"/>
      <c r="L80" s="14">
        <v>1.4999260000000001</v>
      </c>
      <c r="M80" s="14">
        <v>2.5985000000000001E-2</v>
      </c>
      <c r="N80" s="13">
        <f t="shared" si="9"/>
        <v>3.8975577110000006E-2</v>
      </c>
      <c r="O80" s="14">
        <v>1.8007169999999999</v>
      </c>
      <c r="P80" s="14">
        <v>1.3240000000000001E-3</v>
      </c>
      <c r="Q80" s="14">
        <v>2.285109873E-3</v>
      </c>
      <c r="R80" s="14">
        <v>0.99804300000000001</v>
      </c>
      <c r="S80" s="14">
        <v>2.7980000000000001E-3</v>
      </c>
      <c r="T80" s="13">
        <f t="shared" si="10"/>
        <v>2.7925243140000003E-3</v>
      </c>
      <c r="U80" s="14">
        <v>1.7998130000000001</v>
      </c>
      <c r="V80" s="14">
        <v>5.646E-3</v>
      </c>
      <c r="W80" s="13">
        <f t="shared" si="11"/>
        <v>1.0161744198E-2</v>
      </c>
      <c r="X80" s="14">
        <v>0.99888600000000005</v>
      </c>
      <c r="Y80" s="14">
        <v>3.4696999999999999E-2</v>
      </c>
      <c r="Z80" s="13">
        <f t="shared" si="12"/>
        <v>3.4658347542E-2</v>
      </c>
      <c r="AA80" s="14">
        <f t="shared" si="13"/>
        <v>8.8873303037000001E-2</v>
      </c>
      <c r="AB80" s="46">
        <f t="shared" si="14"/>
        <v>8.8873303037000001E-2</v>
      </c>
    </row>
    <row r="81" spans="1:28" x14ac:dyDescent="0.7">
      <c r="A81" s="8">
        <v>13</v>
      </c>
      <c r="B81" s="9">
        <v>19000</v>
      </c>
      <c r="C81" s="15">
        <v>-43.651387410928642</v>
      </c>
      <c r="D81" s="10">
        <f t="shared" si="15"/>
        <v>-12.147290243394671</v>
      </c>
      <c r="E81" s="10">
        <v>31.50409716753397</v>
      </c>
      <c r="F81" s="15">
        <f t="shared" si="16"/>
        <v>31.389616867533967</v>
      </c>
      <c r="G81" s="11" t="s">
        <v>42</v>
      </c>
      <c r="H81" s="51" t="s">
        <v>43</v>
      </c>
      <c r="I81" s="12"/>
      <c r="J81" s="15"/>
      <c r="K81" s="12"/>
      <c r="L81" s="14">
        <v>1.4999260000000001</v>
      </c>
      <c r="M81" s="14">
        <v>2.5989000000000002E-2</v>
      </c>
      <c r="N81" s="13">
        <f t="shared" si="9"/>
        <v>3.8981576814000003E-2</v>
      </c>
      <c r="O81" s="14">
        <v>1.8007169999999999</v>
      </c>
      <c r="P81" s="14">
        <v>1.3240000000000001E-3</v>
      </c>
      <c r="Q81" s="14">
        <v>2.2869105899999999E-3</v>
      </c>
      <c r="R81" s="14">
        <v>0.99804300000000001</v>
      </c>
      <c r="S81" s="14">
        <v>2.7989999999999998E-3</v>
      </c>
      <c r="T81" s="13">
        <f t="shared" si="10"/>
        <v>2.793522357E-3</v>
      </c>
      <c r="U81" s="14">
        <v>1.7998130000000001</v>
      </c>
      <c r="V81" s="14">
        <v>5.6439999999999997E-3</v>
      </c>
      <c r="W81" s="13">
        <f t="shared" si="11"/>
        <v>1.0158144572E-2</v>
      </c>
      <c r="X81" s="14">
        <v>0.99888600000000005</v>
      </c>
      <c r="Y81" s="14">
        <v>3.4696999999999999E-2</v>
      </c>
      <c r="Z81" s="13">
        <f t="shared" si="12"/>
        <v>3.4658347542E-2</v>
      </c>
      <c r="AA81" s="14">
        <f t="shared" si="13"/>
        <v>8.8878501875000016E-2</v>
      </c>
      <c r="AB81" s="46">
        <f t="shared" si="14"/>
        <v>8.8878501875000016E-2</v>
      </c>
    </row>
    <row r="82" spans="1:28" x14ac:dyDescent="0.7">
      <c r="A82" s="8">
        <v>14</v>
      </c>
      <c r="B82" s="9">
        <v>19000</v>
      </c>
      <c r="C82" s="15">
        <v>-43.651387410928642</v>
      </c>
      <c r="D82" s="10">
        <f t="shared" si="15"/>
        <v>-12.381334543394672</v>
      </c>
      <c r="E82" s="10">
        <v>31.27005286753397</v>
      </c>
      <c r="F82" s="15">
        <f t="shared" si="16"/>
        <v>31.139616867533967</v>
      </c>
      <c r="G82" s="11" t="s">
        <v>42</v>
      </c>
      <c r="H82" s="51" t="s">
        <v>43</v>
      </c>
      <c r="I82" s="12"/>
      <c r="J82" s="15"/>
      <c r="K82" s="12"/>
      <c r="L82" s="14">
        <v>1.4999260000000001</v>
      </c>
      <c r="M82" s="14">
        <v>2.5975999999999999E-2</v>
      </c>
      <c r="N82" s="13">
        <f t="shared" si="9"/>
        <v>3.8962077775999998E-2</v>
      </c>
      <c r="O82" s="14">
        <v>1.8007169999999999</v>
      </c>
      <c r="P82" s="14">
        <v>1.3240000000000001E-3</v>
      </c>
      <c r="Q82" s="14">
        <v>2.285109873E-3</v>
      </c>
      <c r="R82" s="14">
        <v>0.99804300000000001</v>
      </c>
      <c r="S82" s="14">
        <v>2.8E-3</v>
      </c>
      <c r="T82" s="13">
        <f t="shared" si="10"/>
        <v>2.7945204000000001E-3</v>
      </c>
      <c r="U82" s="14">
        <v>1.7998130000000001</v>
      </c>
      <c r="V82" s="14">
        <v>5.646E-3</v>
      </c>
      <c r="W82" s="13">
        <f t="shared" si="11"/>
        <v>1.0161744198E-2</v>
      </c>
      <c r="X82" s="14">
        <v>0.99888600000000005</v>
      </c>
      <c r="Y82" s="14">
        <v>3.4828999999999999E-2</v>
      </c>
      <c r="Z82" s="13">
        <f t="shared" si="12"/>
        <v>3.4790200494000001E-2</v>
      </c>
      <c r="AA82" s="14">
        <f t="shared" si="13"/>
        <v>8.899365274099999E-2</v>
      </c>
      <c r="AB82" s="46">
        <f t="shared" si="14"/>
        <v>8.899365274099999E-2</v>
      </c>
    </row>
    <row r="83" spans="1:28" x14ac:dyDescent="0.7">
      <c r="A83" s="8">
        <v>15</v>
      </c>
      <c r="B83" s="9">
        <v>19000</v>
      </c>
      <c r="C83" s="15">
        <v>-43.651387410928642</v>
      </c>
      <c r="D83" s="10">
        <f t="shared" si="15"/>
        <v>-12.631833043394671</v>
      </c>
      <c r="E83" s="10">
        <v>31.019554367533971</v>
      </c>
      <c r="F83" s="15">
        <f t="shared" si="16"/>
        <v>30.889616867533967</v>
      </c>
      <c r="G83" s="11" t="s">
        <v>42</v>
      </c>
      <c r="H83" s="51" t="s">
        <v>43</v>
      </c>
      <c r="I83" s="12"/>
      <c r="J83" s="15"/>
      <c r="K83" s="12"/>
      <c r="L83" s="14">
        <v>1.4999260000000001</v>
      </c>
      <c r="M83" s="14">
        <v>2.5984E-2</v>
      </c>
      <c r="N83" s="13">
        <f t="shared" si="9"/>
        <v>3.8974077184000006E-2</v>
      </c>
      <c r="O83" s="14">
        <v>1.8007169999999999</v>
      </c>
      <c r="P83" s="14">
        <v>1.323E-3</v>
      </c>
      <c r="Q83" s="14">
        <v>2.2833091560000001E-3</v>
      </c>
      <c r="R83" s="14">
        <v>0.99804300000000001</v>
      </c>
      <c r="S83" s="14">
        <v>2.8010000000000001E-3</v>
      </c>
      <c r="T83" s="13">
        <f t="shared" si="10"/>
        <v>2.7955184430000003E-3</v>
      </c>
      <c r="U83" s="14">
        <v>1.8000130000000001</v>
      </c>
      <c r="V83" s="14">
        <v>5.646E-3</v>
      </c>
      <c r="W83" s="13">
        <f t="shared" si="11"/>
        <v>1.0162873398E-2</v>
      </c>
      <c r="X83" s="14">
        <v>0.99888600000000005</v>
      </c>
      <c r="Y83" s="14">
        <v>3.4828999999999999E-2</v>
      </c>
      <c r="Z83" s="13">
        <f t="shared" si="12"/>
        <v>3.4790200494000001E-2</v>
      </c>
      <c r="AA83" s="14">
        <f t="shared" si="13"/>
        <v>8.9005978675000014E-2</v>
      </c>
      <c r="AB83" s="46">
        <f t="shared" si="14"/>
        <v>8.9005978675000014E-2</v>
      </c>
    </row>
    <row r="84" spans="1:28" x14ac:dyDescent="0.7">
      <c r="A84" s="8">
        <v>16</v>
      </c>
      <c r="B84" s="9">
        <v>19000</v>
      </c>
      <c r="C84" s="15">
        <v>-43.651387410928642</v>
      </c>
      <c r="D84" s="10">
        <f t="shared" si="15"/>
        <v>-12.827634743394672</v>
      </c>
      <c r="E84" s="10">
        <v>30.82375266753397</v>
      </c>
      <c r="F84" s="15">
        <f t="shared" si="16"/>
        <v>30.639616867533967</v>
      </c>
      <c r="G84" s="11" t="s">
        <v>42</v>
      </c>
      <c r="H84" s="51" t="s">
        <v>43</v>
      </c>
      <c r="I84" s="12"/>
      <c r="J84" s="15"/>
      <c r="K84" s="12"/>
      <c r="L84" s="14">
        <v>1.4999260000000001</v>
      </c>
      <c r="M84" s="14">
        <v>2.5971000000000001E-2</v>
      </c>
      <c r="N84" s="13">
        <f t="shared" si="9"/>
        <v>3.8954578146000007E-2</v>
      </c>
      <c r="O84" s="14">
        <v>1.8007169999999999</v>
      </c>
      <c r="P84" s="14">
        <v>1.3240000000000001E-3</v>
      </c>
      <c r="Q84" s="14">
        <v>2.2833091560000001E-3</v>
      </c>
      <c r="R84" s="14">
        <v>0.99804300000000001</v>
      </c>
      <c r="S84" s="14">
        <v>2.797E-3</v>
      </c>
      <c r="T84" s="13">
        <f t="shared" si="10"/>
        <v>2.7915262710000001E-3</v>
      </c>
      <c r="U84" s="14">
        <v>1.7998130000000001</v>
      </c>
      <c r="V84" s="14">
        <v>5.6429999999999996E-3</v>
      </c>
      <c r="W84" s="13">
        <f t="shared" si="11"/>
        <v>1.0156344758999999E-2</v>
      </c>
      <c r="X84" s="14">
        <v>0.99888600000000005</v>
      </c>
      <c r="Y84" s="14">
        <v>3.4763000000000002E-2</v>
      </c>
      <c r="Z84" s="13">
        <f t="shared" si="12"/>
        <v>3.4724274018000004E-2</v>
      </c>
      <c r="AA84" s="14">
        <f t="shared" si="13"/>
        <v>8.8910032350000015E-2</v>
      </c>
      <c r="AB84" s="46">
        <f t="shared" si="14"/>
        <v>8.8910032350000015E-2</v>
      </c>
    </row>
    <row r="85" spans="1:28" x14ac:dyDescent="0.7">
      <c r="A85" s="8">
        <v>17</v>
      </c>
      <c r="B85" s="9">
        <v>19000</v>
      </c>
      <c r="C85" s="15">
        <v>-43.651387410928642</v>
      </c>
      <c r="D85" s="10">
        <f t="shared" si="15"/>
        <v>-13.094433843394672</v>
      </c>
      <c r="E85" s="10">
        <v>30.55695356753397</v>
      </c>
      <c r="F85" s="15">
        <f t="shared" si="16"/>
        <v>30.389616867533967</v>
      </c>
      <c r="G85" s="11" t="s">
        <v>42</v>
      </c>
      <c r="H85" s="51" t="s">
        <v>43</v>
      </c>
      <c r="I85" s="12"/>
      <c r="J85" s="15"/>
      <c r="K85" s="12"/>
      <c r="L85" s="14">
        <v>1.4999260000000001</v>
      </c>
      <c r="M85" s="14">
        <v>2.5957000000000001E-2</v>
      </c>
      <c r="N85" s="13">
        <f t="shared" si="9"/>
        <v>3.8933579182000001E-2</v>
      </c>
      <c r="O85" s="14">
        <v>1.8007169999999999</v>
      </c>
      <c r="P85" s="14">
        <v>1.3240000000000001E-3</v>
      </c>
      <c r="Q85" s="14">
        <v>2.2815084389999998E-3</v>
      </c>
      <c r="R85" s="14">
        <v>0.99804300000000001</v>
      </c>
      <c r="S85" s="14">
        <v>2.7980000000000001E-3</v>
      </c>
      <c r="T85" s="13">
        <f t="shared" si="10"/>
        <v>2.7925243140000003E-3</v>
      </c>
      <c r="U85" s="14">
        <v>1.7998130000000001</v>
      </c>
      <c r="V85" s="14">
        <v>5.6360000000000004E-3</v>
      </c>
      <c r="W85" s="13">
        <f t="shared" si="11"/>
        <v>1.0143746068000002E-2</v>
      </c>
      <c r="X85" s="14">
        <v>0.99888600000000005</v>
      </c>
      <c r="Y85" s="14">
        <v>3.4763000000000002E-2</v>
      </c>
      <c r="Z85" s="13">
        <f t="shared" si="12"/>
        <v>3.4724274018000004E-2</v>
      </c>
      <c r="AA85" s="14">
        <f t="shared" si="13"/>
        <v>8.8875632021000003E-2</v>
      </c>
      <c r="AB85" s="46">
        <f t="shared" si="14"/>
        <v>8.8875632021000003E-2</v>
      </c>
    </row>
    <row r="86" spans="1:28" x14ac:dyDescent="0.7">
      <c r="A86" s="8">
        <v>18</v>
      </c>
      <c r="B86" s="9">
        <v>19000</v>
      </c>
      <c r="C86" s="15">
        <v>-43.651387410928642</v>
      </c>
      <c r="D86" s="10">
        <f t="shared" si="15"/>
        <v>-13.341914543394672</v>
      </c>
      <c r="E86" s="10">
        <v>30.30947286753397</v>
      </c>
      <c r="F86" s="15">
        <f t="shared" si="16"/>
        <v>30.139616867533967</v>
      </c>
      <c r="G86" s="11" t="s">
        <v>42</v>
      </c>
      <c r="H86" s="51" t="s">
        <v>43</v>
      </c>
      <c r="I86" s="12"/>
      <c r="J86" s="15"/>
      <c r="K86" s="12"/>
      <c r="L86" s="14">
        <v>1.4999260000000001</v>
      </c>
      <c r="M86" s="14">
        <v>2.5971000000000001E-2</v>
      </c>
      <c r="N86" s="13">
        <f t="shared" si="9"/>
        <v>3.8954578146000007E-2</v>
      </c>
      <c r="O86" s="14">
        <v>1.8007169999999999</v>
      </c>
      <c r="P86" s="14">
        <v>1.3240000000000001E-3</v>
      </c>
      <c r="Q86" s="14">
        <v>2.2833091560000001E-3</v>
      </c>
      <c r="R86" s="14">
        <v>0.99804300000000001</v>
      </c>
      <c r="S86" s="14">
        <v>2.7989999999999998E-3</v>
      </c>
      <c r="T86" s="13">
        <f t="shared" si="10"/>
        <v>2.793522357E-3</v>
      </c>
      <c r="U86" s="14">
        <v>1.7998130000000001</v>
      </c>
      <c r="V86" s="14">
        <v>5.6389999999999999E-3</v>
      </c>
      <c r="W86" s="13">
        <f t="shared" si="11"/>
        <v>1.0149145507000001E-2</v>
      </c>
      <c r="X86" s="14">
        <v>0.99888600000000005</v>
      </c>
      <c r="Y86" s="14">
        <v>3.4763000000000002E-2</v>
      </c>
      <c r="Z86" s="13">
        <f t="shared" si="12"/>
        <v>3.4724274018000004E-2</v>
      </c>
      <c r="AA86" s="14">
        <f t="shared" si="13"/>
        <v>8.8904829184000014E-2</v>
      </c>
      <c r="AB86" s="46">
        <f t="shared" si="14"/>
        <v>8.8904829184000014E-2</v>
      </c>
    </row>
    <row r="87" spans="1:28" x14ac:dyDescent="0.7">
      <c r="A87" s="8">
        <v>19</v>
      </c>
      <c r="B87" s="9">
        <v>19000</v>
      </c>
      <c r="C87" s="15">
        <v>-43.651387410928642</v>
      </c>
      <c r="D87" s="10">
        <f t="shared" si="15"/>
        <v>-13.62505044339467</v>
      </c>
      <c r="E87" s="10">
        <v>30.026336967533972</v>
      </c>
      <c r="F87" s="15">
        <f t="shared" si="16"/>
        <v>29.889616867533967</v>
      </c>
      <c r="G87" s="11" t="s">
        <v>42</v>
      </c>
      <c r="H87" s="51" t="s">
        <v>43</v>
      </c>
      <c r="I87" s="12"/>
      <c r="J87" s="15"/>
      <c r="K87" s="12"/>
      <c r="L87" s="14">
        <v>1.4999260000000001</v>
      </c>
      <c r="M87" s="14">
        <v>2.5975999999999999E-2</v>
      </c>
      <c r="N87" s="13">
        <f t="shared" si="9"/>
        <v>3.8962077775999998E-2</v>
      </c>
      <c r="O87" s="14">
        <v>1.8007169999999999</v>
      </c>
      <c r="P87" s="14">
        <v>1.323E-3</v>
      </c>
      <c r="Q87" s="14">
        <v>2.2815084389999998E-3</v>
      </c>
      <c r="R87" s="14">
        <v>0.99804300000000001</v>
      </c>
      <c r="S87" s="14">
        <v>2.8E-3</v>
      </c>
      <c r="T87" s="13">
        <f t="shared" si="10"/>
        <v>2.7945204000000001E-3</v>
      </c>
      <c r="U87" s="14">
        <v>1.7998130000000001</v>
      </c>
      <c r="V87" s="14">
        <v>5.6429999999999996E-3</v>
      </c>
      <c r="W87" s="13">
        <f t="shared" si="11"/>
        <v>1.0156344758999999E-2</v>
      </c>
      <c r="X87" s="14">
        <v>0.99805100000000002</v>
      </c>
      <c r="Y87" s="14">
        <v>3.4763000000000002E-2</v>
      </c>
      <c r="Z87" s="13">
        <f t="shared" si="12"/>
        <v>3.4695246913000001E-2</v>
      </c>
      <c r="AA87" s="14">
        <f t="shared" si="13"/>
        <v>8.8889698286999996E-2</v>
      </c>
      <c r="AB87" s="46">
        <f t="shared" si="14"/>
        <v>8.8889698286999996E-2</v>
      </c>
    </row>
    <row r="88" spans="1:28" x14ac:dyDescent="0.7">
      <c r="A88" s="8">
        <v>20</v>
      </c>
      <c r="B88" s="9">
        <v>19000</v>
      </c>
      <c r="C88" s="15">
        <v>-43.651387410928642</v>
      </c>
      <c r="D88" s="10">
        <f t="shared" si="15"/>
        <v>-13.753476143394671</v>
      </c>
      <c r="E88" s="10">
        <v>29.897911267533971</v>
      </c>
      <c r="F88" s="15">
        <f t="shared" si="16"/>
        <v>29.639616867533967</v>
      </c>
      <c r="G88" s="11" t="s">
        <v>42</v>
      </c>
      <c r="H88" s="51" t="s">
        <v>43</v>
      </c>
      <c r="I88" s="12"/>
      <c r="J88" s="15"/>
      <c r="K88" s="12"/>
      <c r="L88" s="14">
        <v>1.4999260000000001</v>
      </c>
      <c r="M88" s="14">
        <v>2.5973E-2</v>
      </c>
      <c r="N88" s="13">
        <f t="shared" si="9"/>
        <v>3.8957577998000002E-2</v>
      </c>
      <c r="O88" s="14">
        <v>1.8007169999999999</v>
      </c>
      <c r="P88" s="14">
        <v>1.323E-3</v>
      </c>
      <c r="Q88" s="14">
        <v>2.2797077219999999E-3</v>
      </c>
      <c r="R88" s="14">
        <v>0.99804300000000001</v>
      </c>
      <c r="S88" s="14">
        <v>2.7980000000000001E-3</v>
      </c>
      <c r="T88" s="13">
        <f t="shared" si="10"/>
        <v>2.7925243140000003E-3</v>
      </c>
      <c r="U88" s="14">
        <v>1.7998130000000001</v>
      </c>
      <c r="V88" s="14">
        <v>5.6410000000000002E-3</v>
      </c>
      <c r="W88" s="13">
        <f t="shared" si="11"/>
        <v>1.0152745133000001E-2</v>
      </c>
      <c r="X88" s="14">
        <v>0.99888600000000005</v>
      </c>
      <c r="Y88" s="14">
        <v>3.4696999999999999E-2</v>
      </c>
      <c r="Z88" s="13">
        <f t="shared" si="12"/>
        <v>3.4658347542E-2</v>
      </c>
      <c r="AA88" s="14">
        <f t="shared" si="13"/>
        <v>8.8840902708999997E-2</v>
      </c>
      <c r="AB88" s="46">
        <f t="shared" si="14"/>
        <v>8.8840902708999997E-2</v>
      </c>
    </row>
    <row r="89" spans="1:28" x14ac:dyDescent="0.7">
      <c r="A89" s="8">
        <v>21</v>
      </c>
      <c r="B89" s="9">
        <v>19000</v>
      </c>
      <c r="C89" s="15">
        <v>-43.651387410928642</v>
      </c>
      <c r="D89" s="10">
        <f t="shared" si="15"/>
        <v>-14.033410943394671</v>
      </c>
      <c r="E89" s="10">
        <v>29.617976467533971</v>
      </c>
      <c r="F89" s="15">
        <f t="shared" si="16"/>
        <v>29.389616867533967</v>
      </c>
      <c r="G89" s="11" t="s">
        <v>42</v>
      </c>
      <c r="H89" s="51" t="s">
        <v>43</v>
      </c>
      <c r="I89" s="12"/>
      <c r="J89" s="15"/>
      <c r="K89" s="12"/>
      <c r="L89" s="14">
        <v>1.4999260000000001</v>
      </c>
      <c r="M89" s="14">
        <v>2.5954000000000001E-2</v>
      </c>
      <c r="N89" s="13">
        <f t="shared" si="9"/>
        <v>3.8929079404000005E-2</v>
      </c>
      <c r="O89" s="14">
        <v>1.8007169999999999</v>
      </c>
      <c r="P89" s="14">
        <v>1.322E-3</v>
      </c>
      <c r="Q89" s="14">
        <v>2.277907005E-3</v>
      </c>
      <c r="R89" s="14">
        <v>0.99804300000000001</v>
      </c>
      <c r="S89" s="14">
        <v>2.8E-3</v>
      </c>
      <c r="T89" s="13">
        <f t="shared" si="10"/>
        <v>2.7945204000000001E-3</v>
      </c>
      <c r="U89" s="14">
        <v>1.8000130000000001</v>
      </c>
      <c r="V89" s="14">
        <v>5.6389999999999999E-3</v>
      </c>
      <c r="W89" s="13">
        <f t="shared" si="11"/>
        <v>1.0150273307E-2</v>
      </c>
      <c r="X89" s="14">
        <v>0.99888600000000005</v>
      </c>
      <c r="Y89" s="14">
        <v>3.4763000000000002E-2</v>
      </c>
      <c r="Z89" s="13">
        <f t="shared" si="12"/>
        <v>3.4724274018000004E-2</v>
      </c>
      <c r="AA89" s="14">
        <f t="shared" si="13"/>
        <v>8.8876054134000015E-2</v>
      </c>
      <c r="AB89" s="46">
        <f t="shared" si="14"/>
        <v>8.8876054134000015E-2</v>
      </c>
    </row>
    <row r="90" spans="1:28" x14ac:dyDescent="0.7">
      <c r="A90" s="8">
        <v>22</v>
      </c>
      <c r="B90" s="9">
        <v>19000</v>
      </c>
      <c r="C90" s="15">
        <v>-43.651387410928642</v>
      </c>
      <c r="D90" s="10">
        <f t="shared" si="15"/>
        <v>-14.305070343394672</v>
      </c>
      <c r="E90" s="10">
        <v>29.34631706753397</v>
      </c>
      <c r="F90" s="15">
        <f t="shared" si="16"/>
        <v>29.139616867533967</v>
      </c>
      <c r="G90" s="11" t="s">
        <v>42</v>
      </c>
      <c r="H90" s="51" t="s">
        <v>43</v>
      </c>
      <c r="I90" s="12"/>
      <c r="J90" s="15"/>
      <c r="K90" s="12"/>
      <c r="L90" s="14">
        <v>1.4999260000000001</v>
      </c>
      <c r="M90" s="14">
        <v>2.5954999999999999E-2</v>
      </c>
      <c r="N90" s="13">
        <f t="shared" si="9"/>
        <v>3.8930579329999999E-2</v>
      </c>
      <c r="O90" s="14">
        <v>1.8007169999999999</v>
      </c>
      <c r="P90" s="14">
        <v>1.3240000000000001E-3</v>
      </c>
      <c r="Q90" s="14">
        <v>2.2761062879999997E-3</v>
      </c>
      <c r="R90" s="14">
        <v>0.99804300000000001</v>
      </c>
      <c r="S90" s="14">
        <v>2.8010000000000001E-3</v>
      </c>
      <c r="T90" s="13">
        <f t="shared" si="10"/>
        <v>2.7955184430000003E-3</v>
      </c>
      <c r="U90" s="14">
        <v>1.7998130000000001</v>
      </c>
      <c r="V90" s="14">
        <v>5.646E-3</v>
      </c>
      <c r="W90" s="13">
        <f t="shared" si="11"/>
        <v>1.0161744198E-2</v>
      </c>
      <c r="X90" s="14">
        <v>0.99888600000000005</v>
      </c>
      <c r="Y90" s="14">
        <v>3.4763000000000002E-2</v>
      </c>
      <c r="Z90" s="13">
        <f t="shared" si="12"/>
        <v>3.4724274018000004E-2</v>
      </c>
      <c r="AA90" s="14">
        <f t="shared" si="13"/>
        <v>8.8888222276999995E-2</v>
      </c>
      <c r="AB90" s="46">
        <f t="shared" si="14"/>
        <v>8.8888222276999995E-2</v>
      </c>
    </row>
    <row r="91" spans="1:28" x14ac:dyDescent="0.7">
      <c r="A91" s="8">
        <v>23</v>
      </c>
      <c r="B91" s="9">
        <v>19000</v>
      </c>
      <c r="C91" s="15">
        <v>-43.651387410928642</v>
      </c>
      <c r="D91" s="10">
        <f t="shared" si="15"/>
        <v>-14.556567043394672</v>
      </c>
      <c r="E91" s="10">
        <v>29.09482036753397</v>
      </c>
      <c r="F91" s="15">
        <f t="shared" si="16"/>
        <v>28.889616867533967</v>
      </c>
      <c r="G91" s="11" t="s">
        <v>42</v>
      </c>
      <c r="H91" s="51" t="s">
        <v>43</v>
      </c>
      <c r="I91" s="29"/>
      <c r="J91" s="15"/>
      <c r="K91" s="12"/>
      <c r="L91" s="14">
        <v>1.4999260000000001</v>
      </c>
      <c r="M91" s="14">
        <v>2.5954999999999999E-2</v>
      </c>
      <c r="N91" s="13">
        <f t="shared" si="9"/>
        <v>3.8930579329999999E-2</v>
      </c>
      <c r="O91" s="14">
        <v>1.8007169999999999</v>
      </c>
      <c r="P91" s="14">
        <v>1.322E-3</v>
      </c>
      <c r="Q91" s="14">
        <v>2.2761062879999997E-3</v>
      </c>
      <c r="R91" s="14">
        <v>0.99804300000000001</v>
      </c>
      <c r="S91" s="14">
        <v>2.8019999999999998E-3</v>
      </c>
      <c r="T91" s="13">
        <f t="shared" si="10"/>
        <v>2.796516486E-3</v>
      </c>
      <c r="U91" s="14">
        <v>1.7998130000000001</v>
      </c>
      <c r="V91" s="14">
        <v>5.646E-3</v>
      </c>
      <c r="W91" s="13">
        <f t="shared" si="11"/>
        <v>1.0161744198E-2</v>
      </c>
      <c r="X91" s="14">
        <v>0.99888600000000005</v>
      </c>
      <c r="Y91" s="14">
        <v>3.4763000000000002E-2</v>
      </c>
      <c r="Z91" s="13">
        <f t="shared" si="12"/>
        <v>3.4724274018000004E-2</v>
      </c>
      <c r="AA91" s="14">
        <f t="shared" si="13"/>
        <v>8.8889220320000004E-2</v>
      </c>
      <c r="AB91" s="46">
        <f t="shared" si="14"/>
        <v>8.8889220320000004E-2</v>
      </c>
    </row>
    <row r="92" spans="1:28" x14ac:dyDescent="0.7">
      <c r="A92" s="8">
        <v>24</v>
      </c>
      <c r="B92" s="9">
        <v>19000</v>
      </c>
      <c r="C92" s="15">
        <v>-43.651387410928642</v>
      </c>
      <c r="D92" s="10">
        <f t="shared" si="15"/>
        <v>-14.947545643394673</v>
      </c>
      <c r="E92" s="10">
        <v>28.703841767533969</v>
      </c>
      <c r="F92" s="15">
        <f t="shared" si="16"/>
        <v>28.639616867533967</v>
      </c>
      <c r="G92" s="11" t="s">
        <v>42</v>
      </c>
      <c r="H92" s="51" t="s">
        <v>43</v>
      </c>
      <c r="I92" s="12"/>
      <c r="J92" s="15"/>
      <c r="K92" s="12"/>
      <c r="L92" s="14">
        <v>1.4999260000000001</v>
      </c>
      <c r="M92" s="14">
        <v>2.5950000000000001E-2</v>
      </c>
      <c r="N92" s="13">
        <f t="shared" si="9"/>
        <v>3.8923079700000002E-2</v>
      </c>
      <c r="O92" s="14">
        <v>1.8007169999999999</v>
      </c>
      <c r="P92" s="14">
        <v>1.323E-3</v>
      </c>
      <c r="Q92" s="14">
        <v>2.2743055709999998E-3</v>
      </c>
      <c r="R92" s="14">
        <v>0.99804300000000001</v>
      </c>
      <c r="S92" s="14">
        <v>2.7910000000000001E-3</v>
      </c>
      <c r="T92" s="13">
        <f t="shared" si="10"/>
        <v>2.7855380130000001E-3</v>
      </c>
      <c r="U92" s="14">
        <v>1.7998130000000001</v>
      </c>
      <c r="V92" s="14">
        <v>5.6439999999999997E-3</v>
      </c>
      <c r="W92" s="13">
        <f t="shared" si="11"/>
        <v>1.0158144572E-2</v>
      </c>
      <c r="X92" s="14">
        <v>0.99888600000000005</v>
      </c>
      <c r="Y92" s="14">
        <v>3.4696999999999999E-2</v>
      </c>
      <c r="Z92" s="13">
        <f t="shared" si="12"/>
        <v>3.4658347542E-2</v>
      </c>
      <c r="AA92" s="14">
        <f t="shared" si="13"/>
        <v>8.8799415398000014E-2</v>
      </c>
      <c r="AB92" s="46">
        <f t="shared" si="14"/>
        <v>8.8799415398000014E-2</v>
      </c>
    </row>
    <row r="93" spans="1:28" x14ac:dyDescent="0.7">
      <c r="A93" s="8">
        <v>25</v>
      </c>
      <c r="B93" s="9">
        <v>19000</v>
      </c>
      <c r="C93" s="15">
        <v>-43.651387410928642</v>
      </c>
      <c r="D93" s="10">
        <f t="shared" si="15"/>
        <v>-15.250918243394672</v>
      </c>
      <c r="E93" s="10">
        <v>28.40046916753397</v>
      </c>
      <c r="F93" s="15">
        <f t="shared" si="16"/>
        <v>28.389616867533967</v>
      </c>
      <c r="G93" s="11" t="s">
        <v>42</v>
      </c>
      <c r="H93" s="51" t="s">
        <v>43</v>
      </c>
      <c r="I93" s="12"/>
      <c r="J93" s="15"/>
      <c r="K93" s="12"/>
      <c r="L93" s="14">
        <v>1.4999260000000001</v>
      </c>
      <c r="M93" s="14">
        <v>2.5936000000000001E-2</v>
      </c>
      <c r="N93" s="13">
        <f t="shared" si="9"/>
        <v>3.8902080736000003E-2</v>
      </c>
      <c r="O93" s="14">
        <v>1.8007169999999999</v>
      </c>
      <c r="P93" s="14">
        <v>1.323E-3</v>
      </c>
      <c r="Q93" s="14">
        <v>2.2743055709999998E-3</v>
      </c>
      <c r="R93" s="14">
        <v>0.99804300000000001</v>
      </c>
      <c r="S93" s="14">
        <v>2.7920000000000002E-3</v>
      </c>
      <c r="T93" s="13">
        <f t="shared" si="10"/>
        <v>2.7865360560000003E-3</v>
      </c>
      <c r="U93" s="14">
        <v>1.7998130000000001</v>
      </c>
      <c r="V93" s="14">
        <v>5.646E-3</v>
      </c>
      <c r="W93" s="13">
        <f t="shared" si="11"/>
        <v>1.0161744198E-2</v>
      </c>
      <c r="X93" s="14">
        <v>0.99888600000000005</v>
      </c>
      <c r="Y93" s="14">
        <v>3.4696999999999999E-2</v>
      </c>
      <c r="Z93" s="13">
        <f t="shared" si="12"/>
        <v>3.4658347542E-2</v>
      </c>
      <c r="AA93" s="14">
        <f t="shared" si="13"/>
        <v>8.8783014103000005E-2</v>
      </c>
      <c r="AB93" s="46">
        <f t="shared" si="14"/>
        <v>8.8783014103000005E-2</v>
      </c>
    </row>
    <row r="94" spans="1:28" x14ac:dyDescent="0.7">
      <c r="A94" s="8">
        <v>26</v>
      </c>
      <c r="B94" s="9">
        <v>19000</v>
      </c>
      <c r="C94" s="15">
        <v>-43.651387410928642</v>
      </c>
      <c r="D94" s="10">
        <f t="shared" si="15"/>
        <v>-15.470361443394673</v>
      </c>
      <c r="E94" s="10">
        <v>28.181025967533969</v>
      </c>
      <c r="F94" s="15">
        <f t="shared" si="16"/>
        <v>28.139616867533967</v>
      </c>
      <c r="G94" s="11" t="s">
        <v>42</v>
      </c>
      <c r="H94" s="51" t="s">
        <v>43</v>
      </c>
      <c r="I94" s="12"/>
      <c r="J94" s="15"/>
      <c r="K94" s="12"/>
      <c r="L94" s="14">
        <v>1.4999260000000001</v>
      </c>
      <c r="M94" s="14">
        <v>2.5947999999999999E-2</v>
      </c>
      <c r="N94" s="13">
        <f t="shared" si="9"/>
        <v>3.8920079848E-2</v>
      </c>
      <c r="O94" s="14">
        <v>1.8007169999999999</v>
      </c>
      <c r="P94" s="14">
        <v>1.3209999999999999E-3</v>
      </c>
      <c r="Q94" s="14">
        <v>2.2725048539999999E-3</v>
      </c>
      <c r="R94" s="14">
        <v>0.99804300000000001</v>
      </c>
      <c r="S94" s="14">
        <v>2.794E-3</v>
      </c>
      <c r="T94" s="13">
        <f t="shared" si="10"/>
        <v>2.7885321420000001E-3</v>
      </c>
      <c r="U94" s="14">
        <v>1.7998130000000001</v>
      </c>
      <c r="V94" s="14">
        <v>5.6369999999999996E-3</v>
      </c>
      <c r="W94" s="13">
        <f t="shared" si="11"/>
        <v>1.0145545880999999E-2</v>
      </c>
      <c r="X94" s="14">
        <v>0.99888600000000005</v>
      </c>
      <c r="Y94" s="14">
        <v>3.4696999999999999E-2</v>
      </c>
      <c r="Z94" s="13">
        <f t="shared" si="12"/>
        <v>3.4658347542E-2</v>
      </c>
      <c r="AA94" s="14">
        <f t="shared" si="13"/>
        <v>8.8785010267000003E-2</v>
      </c>
      <c r="AB94" s="46">
        <f t="shared" si="14"/>
        <v>8.8785010267000003E-2</v>
      </c>
    </row>
    <row r="95" spans="1:28" x14ac:dyDescent="0.7">
      <c r="A95" s="8">
        <v>27</v>
      </c>
      <c r="B95" s="9">
        <v>19000</v>
      </c>
      <c r="C95" s="15">
        <v>-43.651387410928642</v>
      </c>
      <c r="D95" s="10">
        <f t="shared" si="15"/>
        <v>-15.728956543394673</v>
      </c>
      <c r="E95" s="10">
        <v>27.922430867533969</v>
      </c>
      <c r="F95" s="15">
        <f t="shared" si="16"/>
        <v>27.889616867533967</v>
      </c>
      <c r="G95" s="11" t="s">
        <v>42</v>
      </c>
      <c r="H95" s="51" t="s">
        <v>43</v>
      </c>
      <c r="I95" s="12"/>
      <c r="J95" s="15"/>
      <c r="K95" s="12"/>
      <c r="L95" s="14">
        <v>1.4999260000000001</v>
      </c>
      <c r="M95" s="14">
        <v>2.5939E-2</v>
      </c>
      <c r="N95" s="13">
        <f t="shared" si="9"/>
        <v>3.8906580514000005E-2</v>
      </c>
      <c r="O95" s="14">
        <v>1.8007169999999999</v>
      </c>
      <c r="P95" s="14">
        <v>1.323E-3</v>
      </c>
      <c r="Q95" s="14">
        <v>2.2725048539999999E-3</v>
      </c>
      <c r="R95" s="14">
        <v>0.99804300000000001</v>
      </c>
      <c r="S95" s="14">
        <v>2.7950000000000002E-3</v>
      </c>
      <c r="T95" s="13">
        <f t="shared" si="10"/>
        <v>2.7895301850000003E-3</v>
      </c>
      <c r="U95" s="14">
        <v>1.7998130000000001</v>
      </c>
      <c r="V95" s="14">
        <v>5.6389999999999999E-3</v>
      </c>
      <c r="W95" s="13">
        <f t="shared" si="11"/>
        <v>1.0149145507000001E-2</v>
      </c>
      <c r="X95" s="14">
        <v>0.99888600000000005</v>
      </c>
      <c r="Y95" s="14">
        <v>3.4763000000000002E-2</v>
      </c>
      <c r="Z95" s="13">
        <f t="shared" si="12"/>
        <v>3.4724274018000004E-2</v>
      </c>
      <c r="AA95" s="14">
        <f t="shared" si="13"/>
        <v>8.8842035078000009E-2</v>
      </c>
      <c r="AB95" s="46">
        <f t="shared" si="14"/>
        <v>8.8842035078000009E-2</v>
      </c>
    </row>
    <row r="96" spans="1:28" x14ac:dyDescent="0.7">
      <c r="A96" s="8">
        <v>28</v>
      </c>
      <c r="B96" s="9">
        <v>19000</v>
      </c>
      <c r="C96" s="15">
        <v>-43.651387410928642</v>
      </c>
      <c r="D96" s="10">
        <f t="shared" si="15"/>
        <v>-15.877947543394672</v>
      </c>
      <c r="E96" s="10">
        <v>27.77343986753397</v>
      </c>
      <c r="F96" s="15">
        <f t="shared" si="16"/>
        <v>27.639616867533967</v>
      </c>
      <c r="G96" s="11" t="s">
        <v>42</v>
      </c>
      <c r="H96" s="51" t="s">
        <v>43</v>
      </c>
      <c r="I96" s="12"/>
      <c r="J96" s="15"/>
      <c r="K96" s="12"/>
      <c r="L96" s="14">
        <v>1.4999260000000001</v>
      </c>
      <c r="M96" s="14">
        <v>2.5958999999999999E-2</v>
      </c>
      <c r="N96" s="13">
        <f t="shared" si="9"/>
        <v>3.8936579034000003E-2</v>
      </c>
      <c r="O96" s="14">
        <v>1.8007169999999999</v>
      </c>
      <c r="P96" s="14">
        <v>1.323E-3</v>
      </c>
      <c r="Q96" s="14">
        <v>2.270704137E-3</v>
      </c>
      <c r="R96" s="14">
        <v>0.99804300000000001</v>
      </c>
      <c r="S96" s="14">
        <v>2.7929999999999999E-3</v>
      </c>
      <c r="T96" s="13">
        <f t="shared" si="10"/>
        <v>2.787534099E-3</v>
      </c>
      <c r="U96" s="14">
        <v>1.7998130000000001</v>
      </c>
      <c r="V96" s="14">
        <v>5.6389999999999999E-3</v>
      </c>
      <c r="W96" s="13">
        <f t="shared" si="11"/>
        <v>1.0149145507000001E-2</v>
      </c>
      <c r="X96" s="14">
        <v>0.99888600000000005</v>
      </c>
      <c r="Y96" s="14">
        <v>3.4696999999999999E-2</v>
      </c>
      <c r="Z96" s="13">
        <f t="shared" si="12"/>
        <v>3.4658347542E-2</v>
      </c>
      <c r="AA96" s="14">
        <f t="shared" si="13"/>
        <v>8.8802310319000002E-2</v>
      </c>
      <c r="AB96" s="46">
        <f t="shared" si="14"/>
        <v>8.8802310319000002E-2</v>
      </c>
    </row>
    <row r="97" spans="1:28" x14ac:dyDescent="0.7">
      <c r="A97" s="8">
        <v>29</v>
      </c>
      <c r="B97" s="9">
        <v>19000</v>
      </c>
      <c r="C97" s="15">
        <v>-43.651387410928642</v>
      </c>
      <c r="D97" s="10">
        <f t="shared" si="15"/>
        <v>-16.148234743394671</v>
      </c>
      <c r="E97" s="10">
        <v>27.503152667533971</v>
      </c>
      <c r="F97" s="15">
        <f t="shared" si="16"/>
        <v>27.389616867533967</v>
      </c>
      <c r="G97" s="11" t="s">
        <v>42</v>
      </c>
      <c r="H97" s="51" t="s">
        <v>43</v>
      </c>
      <c r="I97" s="12"/>
      <c r="J97" s="15"/>
      <c r="K97" s="12"/>
      <c r="L97" s="14">
        <v>1.4999260000000001</v>
      </c>
      <c r="M97" s="14">
        <v>2.5943000000000001E-2</v>
      </c>
      <c r="N97" s="13">
        <f t="shared" si="9"/>
        <v>3.8912580218000002E-2</v>
      </c>
      <c r="O97" s="14">
        <v>1.8007169999999999</v>
      </c>
      <c r="P97" s="14">
        <v>1.322E-3</v>
      </c>
      <c r="Q97" s="14">
        <v>2.270704137E-3</v>
      </c>
      <c r="R97" s="14">
        <v>0.99804300000000001</v>
      </c>
      <c r="S97" s="14">
        <v>2.794E-3</v>
      </c>
      <c r="T97" s="13">
        <f t="shared" si="10"/>
        <v>2.7885321420000001E-3</v>
      </c>
      <c r="U97" s="14">
        <v>1.7998130000000001</v>
      </c>
      <c r="V97" s="14">
        <v>5.6439999999999997E-3</v>
      </c>
      <c r="W97" s="13">
        <f t="shared" si="11"/>
        <v>1.0158144572E-2</v>
      </c>
      <c r="X97" s="14">
        <v>0.99888600000000005</v>
      </c>
      <c r="Y97" s="14">
        <v>3.4696999999999999E-2</v>
      </c>
      <c r="Z97" s="13">
        <f t="shared" si="12"/>
        <v>3.4658347542E-2</v>
      </c>
      <c r="AA97" s="14">
        <f t="shared" si="13"/>
        <v>8.8788308611000011E-2</v>
      </c>
      <c r="AB97" s="46">
        <f t="shared" si="14"/>
        <v>8.8788308611000011E-2</v>
      </c>
    </row>
    <row r="98" spans="1:28" x14ac:dyDescent="0.7">
      <c r="A98" s="8">
        <v>30</v>
      </c>
      <c r="B98" s="9">
        <v>19000</v>
      </c>
      <c r="C98" s="15">
        <v>-43.651387410928642</v>
      </c>
      <c r="D98" s="10">
        <f t="shared" si="15"/>
        <v>-16.439815443394671</v>
      </c>
      <c r="E98" s="10">
        <v>27.21157196753397</v>
      </c>
      <c r="F98" s="15">
        <f t="shared" si="16"/>
        <v>27.139616867533967</v>
      </c>
      <c r="G98" s="11" t="s">
        <v>42</v>
      </c>
      <c r="H98" s="51" t="s">
        <v>43</v>
      </c>
      <c r="I98" s="12"/>
      <c r="J98" s="15"/>
      <c r="K98" s="12"/>
      <c r="L98" s="14">
        <v>1.4999260000000001</v>
      </c>
      <c r="M98" s="14">
        <v>2.5929000000000001E-2</v>
      </c>
      <c r="N98" s="13">
        <f t="shared" si="9"/>
        <v>3.8891581254000003E-2</v>
      </c>
      <c r="O98" s="14">
        <v>1.8007169999999999</v>
      </c>
      <c r="P98" s="14">
        <v>1.323E-3</v>
      </c>
      <c r="Q98" s="14">
        <v>2.270704137E-3</v>
      </c>
      <c r="R98" s="14">
        <v>0.99804300000000001</v>
      </c>
      <c r="S98" s="14">
        <v>2.7959999999999999E-3</v>
      </c>
      <c r="T98" s="13">
        <f t="shared" si="10"/>
        <v>2.790528228E-3</v>
      </c>
      <c r="U98" s="14">
        <v>1.7998130000000001</v>
      </c>
      <c r="V98" s="14">
        <v>5.6389999999999999E-3</v>
      </c>
      <c r="W98" s="13">
        <f t="shared" si="11"/>
        <v>1.0149145507000001E-2</v>
      </c>
      <c r="X98" s="14">
        <v>0.99888600000000005</v>
      </c>
      <c r="Y98" s="14">
        <v>3.4696999999999999E-2</v>
      </c>
      <c r="Z98" s="13">
        <f t="shared" si="12"/>
        <v>3.4658347542E-2</v>
      </c>
      <c r="AA98" s="14">
        <f t="shared" si="13"/>
        <v>8.8760306668E-2</v>
      </c>
      <c r="AB98" s="46">
        <f t="shared" si="14"/>
        <v>8.8760306668E-2</v>
      </c>
    </row>
    <row r="99" spans="1:28" x14ac:dyDescent="0.7">
      <c r="A99" s="16">
        <v>31</v>
      </c>
      <c r="B99" s="9">
        <v>19000</v>
      </c>
      <c r="C99" s="15">
        <v>-43.651387410928642</v>
      </c>
      <c r="D99" s="10">
        <f t="shared" si="15"/>
        <v>-16.680723543394674</v>
      </c>
      <c r="E99" s="10">
        <v>26.970663867533968</v>
      </c>
      <c r="F99" s="15">
        <f t="shared" si="16"/>
        <v>26.889616867533967</v>
      </c>
      <c r="G99" s="11" t="s">
        <v>42</v>
      </c>
      <c r="H99" s="51" t="s">
        <v>43</v>
      </c>
      <c r="I99" s="18"/>
      <c r="J99" s="17"/>
      <c r="K99" s="18"/>
      <c r="L99" s="19">
        <v>1.4999260000000001</v>
      </c>
      <c r="M99" s="19">
        <v>2.5923999999999999E-2</v>
      </c>
      <c r="N99" s="13">
        <f t="shared" si="9"/>
        <v>3.8884081623999998E-2</v>
      </c>
      <c r="O99" s="19">
        <v>1.8007169999999999</v>
      </c>
      <c r="P99" s="19">
        <v>1.322E-3</v>
      </c>
      <c r="Q99" s="19">
        <v>2.2725048539999999E-3</v>
      </c>
      <c r="R99" s="19">
        <v>0.99804300000000001</v>
      </c>
      <c r="S99" s="19">
        <v>2.797E-3</v>
      </c>
      <c r="T99" s="13">
        <f t="shared" si="10"/>
        <v>2.7915262710000001E-3</v>
      </c>
      <c r="U99" s="19">
        <v>1.7998130000000001</v>
      </c>
      <c r="V99" s="19">
        <v>5.646E-3</v>
      </c>
      <c r="W99" s="13">
        <f t="shared" si="11"/>
        <v>1.0161744198E-2</v>
      </c>
      <c r="X99" s="19">
        <v>0.99888600000000005</v>
      </c>
      <c r="Y99" s="19">
        <v>3.4763000000000002E-2</v>
      </c>
      <c r="Z99" s="13">
        <f t="shared" si="12"/>
        <v>3.4724274018000004E-2</v>
      </c>
      <c r="AA99" s="14">
        <f t="shared" si="13"/>
        <v>8.8834130965000008E-2</v>
      </c>
      <c r="AB99" s="46">
        <f t="shared" si="14"/>
        <v>8.8834130965000008E-2</v>
      </c>
    </row>
    <row r="100" spans="1:28" x14ac:dyDescent="0.7">
      <c r="A100" s="16">
        <v>32</v>
      </c>
      <c r="B100" s="9">
        <v>19000</v>
      </c>
      <c r="C100" s="15">
        <v>-43.651387410928642</v>
      </c>
      <c r="D100" s="10">
        <f t="shared" si="15"/>
        <v>-17.049963643394673</v>
      </c>
      <c r="E100" s="10">
        <v>26.601423767533969</v>
      </c>
      <c r="F100" s="15">
        <f t="shared" si="16"/>
        <v>26.639616867533967</v>
      </c>
      <c r="G100" s="11" t="s">
        <v>42</v>
      </c>
      <c r="H100" s="51" t="s">
        <v>43</v>
      </c>
      <c r="I100" s="18"/>
      <c r="J100" s="17"/>
      <c r="K100" s="18"/>
      <c r="L100" s="19">
        <v>1.4999260000000001</v>
      </c>
      <c r="M100" s="19">
        <v>2.5926999999999999E-2</v>
      </c>
      <c r="N100" s="13">
        <f t="shared" si="9"/>
        <v>3.8888581402000001E-2</v>
      </c>
      <c r="O100" s="19">
        <v>1.8007169999999999</v>
      </c>
      <c r="P100" s="19">
        <v>1.322E-3</v>
      </c>
      <c r="Q100" s="19">
        <v>2.2725048539999999E-3</v>
      </c>
      <c r="R100" s="19">
        <v>0.99804300000000001</v>
      </c>
      <c r="S100" s="19">
        <v>2.797E-3</v>
      </c>
      <c r="T100" s="13">
        <f t="shared" si="10"/>
        <v>2.7915262710000001E-3</v>
      </c>
      <c r="U100" s="19">
        <v>1.7998130000000001</v>
      </c>
      <c r="V100" s="19">
        <v>5.6389999999999999E-3</v>
      </c>
      <c r="W100" s="13">
        <f t="shared" si="11"/>
        <v>1.0149145507000001E-2</v>
      </c>
      <c r="X100" s="19">
        <v>0.99888600000000005</v>
      </c>
      <c r="Y100" s="19">
        <v>3.4696999999999999E-2</v>
      </c>
      <c r="Z100" s="13">
        <f t="shared" si="12"/>
        <v>3.4658347542E-2</v>
      </c>
      <c r="AA100" s="14">
        <f t="shared" si="13"/>
        <v>8.8760105576000004E-2</v>
      </c>
      <c r="AB100" s="46">
        <f t="shared" si="14"/>
        <v>8.8760105576000004E-2</v>
      </c>
    </row>
  </sheetData>
  <autoFilter ref="A1:AA99" xr:uid="{74515228-744A-4D2D-B3A5-0583E17F14D0}">
    <filterColumn colId="11" showButton="0"/>
    <filterColumn colId="12" showButton="0"/>
    <filterColumn colId="14" showButton="0"/>
    <filterColumn colId="15" showButton="0"/>
    <filterColumn colId="17" showButton="0"/>
    <filterColumn colId="18" showButton="0"/>
    <filterColumn colId="20" showButton="0"/>
    <filterColumn colId="21" showButton="0"/>
    <filterColumn colId="23" showButton="0"/>
    <filterColumn colId="24" showButton="0"/>
  </autoFilter>
  <mergeCells count="17">
    <mergeCell ref="L1:N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O1:Q1"/>
    <mergeCell ref="R1:T1"/>
    <mergeCell ref="U1:W1"/>
    <mergeCell ref="X1:Z1"/>
    <mergeCell ref="AA1:AA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75FA86-00F7-4667-A135-3A20FAD72F6F}">
  <sheetPr>
    <tabColor theme="7" tint="0.79998168889431442"/>
  </sheetPr>
  <dimension ref="A1:AR69"/>
  <sheetViews>
    <sheetView showGridLines="0" topLeftCell="K1" zoomScale="55" zoomScaleNormal="55" workbookViewId="0">
      <pane ySplit="2" topLeftCell="A3" activePane="bottomLeft" state="frozen"/>
      <selection activeCell="X24" sqref="X24"/>
      <selection pane="bottomLeft" activeCell="AW43" sqref="AW43"/>
    </sheetView>
  </sheetViews>
  <sheetFormatPr defaultRowHeight="18" x14ac:dyDescent="0.6"/>
  <cols>
    <col min="1" max="1" width="6.25" style="6" customWidth="1"/>
    <col min="2" max="2" width="7.625" style="4" customWidth="1"/>
    <col min="3" max="3" width="7.375" style="3" bestFit="1" customWidth="1"/>
    <col min="4" max="4" width="6.875" style="3" bestFit="1" customWidth="1"/>
    <col min="5" max="5" width="6.75" style="3" bestFit="1" customWidth="1"/>
    <col min="6" max="6" width="9.375" style="5" bestFit="1" customWidth="1"/>
    <col min="7" max="7" width="8.375" style="5" bestFit="1" customWidth="1"/>
    <col min="8" max="8" width="8.375" style="5" customWidth="1"/>
    <col min="9" max="9" width="15.25" style="3" bestFit="1" customWidth="1"/>
    <col min="10" max="10" width="7.125" style="5" bestFit="1" customWidth="1"/>
    <col min="11" max="12" width="6.75" style="7" bestFit="1" customWidth="1"/>
    <col min="13" max="13" width="8.75" style="7" bestFit="1" customWidth="1"/>
    <col min="14" max="15" width="6.75" style="7" bestFit="1" customWidth="1"/>
    <col min="16" max="16" width="14.375" style="7" bestFit="1" customWidth="1"/>
    <col min="17" max="18" width="6.75" style="7" bestFit="1" customWidth="1"/>
    <col min="19" max="19" width="13.125" style="7" bestFit="1" customWidth="1"/>
    <col min="20" max="21" width="6.75" style="7" bestFit="1" customWidth="1"/>
    <col min="22" max="22" width="15.25" style="7" bestFit="1" customWidth="1"/>
    <col min="23" max="24" width="6.75" style="7" bestFit="1" customWidth="1"/>
    <col min="25" max="25" width="15.25" style="7" bestFit="1" customWidth="1"/>
    <col min="26" max="26" width="9.75" style="7" bestFit="1" customWidth="1"/>
    <col min="27" max="16384" width="9" style="1"/>
  </cols>
  <sheetData>
    <row r="1" spans="1:44" x14ac:dyDescent="0.6">
      <c r="A1" s="52" t="s">
        <v>12</v>
      </c>
      <c r="B1" s="53" t="s">
        <v>23</v>
      </c>
      <c r="C1" s="54" t="s">
        <v>24</v>
      </c>
      <c r="D1" s="54" t="s">
        <v>25</v>
      </c>
      <c r="E1" s="54" t="s">
        <v>26</v>
      </c>
      <c r="F1" s="56" t="s">
        <v>4</v>
      </c>
      <c r="G1" s="56" t="s">
        <v>5</v>
      </c>
      <c r="H1" s="54" t="s">
        <v>21</v>
      </c>
      <c r="I1" s="54" t="s">
        <v>27</v>
      </c>
      <c r="J1" s="72" t="s">
        <v>28</v>
      </c>
      <c r="K1" s="69" t="s">
        <v>34</v>
      </c>
      <c r="L1" s="69"/>
      <c r="M1" s="69"/>
      <c r="N1" s="69" t="s">
        <v>0</v>
      </c>
      <c r="O1" s="69"/>
      <c r="P1" s="69"/>
      <c r="Q1" s="69" t="s">
        <v>1</v>
      </c>
      <c r="R1" s="69"/>
      <c r="S1" s="69"/>
      <c r="T1" s="69" t="s">
        <v>2</v>
      </c>
      <c r="U1" s="69"/>
      <c r="V1" s="69"/>
      <c r="W1" s="69" t="s">
        <v>35</v>
      </c>
      <c r="X1" s="69"/>
      <c r="Y1" s="69"/>
      <c r="Z1" s="60" t="s">
        <v>29</v>
      </c>
      <c r="AB1" s="70" t="s">
        <v>36</v>
      </c>
      <c r="AC1" s="71"/>
      <c r="AD1" s="71"/>
      <c r="AE1" s="71"/>
      <c r="AF1" s="71"/>
      <c r="AG1" s="71"/>
      <c r="AH1" s="71"/>
      <c r="AI1" s="71"/>
      <c r="AJ1" s="71"/>
      <c r="AK1" s="71"/>
      <c r="AL1" s="71"/>
      <c r="AM1" s="71"/>
      <c r="AN1" s="49">
        <v>0</v>
      </c>
      <c r="AO1" s="49">
        <v>1</v>
      </c>
      <c r="AQ1" s="49">
        <v>0</v>
      </c>
      <c r="AR1" s="49">
        <v>1</v>
      </c>
    </row>
    <row r="2" spans="1:44" s="2" customFormat="1" ht="19.5" customHeight="1" x14ac:dyDescent="0.6">
      <c r="A2" s="52"/>
      <c r="B2" s="53"/>
      <c r="C2" s="54"/>
      <c r="D2" s="54"/>
      <c r="E2" s="54"/>
      <c r="F2" s="56"/>
      <c r="G2" s="56"/>
      <c r="H2" s="54"/>
      <c r="I2" s="54"/>
      <c r="J2" s="72"/>
      <c r="K2" s="20" t="s">
        <v>3</v>
      </c>
      <c r="L2" s="20" t="s">
        <v>7</v>
      </c>
      <c r="M2" s="20" t="s">
        <v>6</v>
      </c>
      <c r="N2" s="20" t="s">
        <v>3</v>
      </c>
      <c r="O2" s="20" t="s">
        <v>7</v>
      </c>
      <c r="P2" s="20" t="s">
        <v>8</v>
      </c>
      <c r="Q2" s="20" t="s">
        <v>3</v>
      </c>
      <c r="R2" s="20" t="s">
        <v>7</v>
      </c>
      <c r="S2" s="20" t="s">
        <v>9</v>
      </c>
      <c r="T2" s="20" t="s">
        <v>3</v>
      </c>
      <c r="U2" s="20" t="s">
        <v>7</v>
      </c>
      <c r="V2" s="20" t="s">
        <v>10</v>
      </c>
      <c r="W2" s="20" t="s">
        <v>3</v>
      </c>
      <c r="X2" s="20" t="s">
        <v>7</v>
      </c>
      <c r="Y2" s="20" t="s">
        <v>11</v>
      </c>
      <c r="Z2" s="61"/>
      <c r="AB2" s="71"/>
      <c r="AC2" s="71"/>
      <c r="AD2" s="71"/>
      <c r="AE2" s="71"/>
      <c r="AF2" s="71"/>
      <c r="AG2" s="71"/>
      <c r="AH2" s="71"/>
      <c r="AI2" s="71"/>
      <c r="AJ2" s="71"/>
      <c r="AK2" s="71"/>
      <c r="AL2" s="71"/>
      <c r="AM2" s="71"/>
      <c r="AN2" s="47">
        <v>29.70955454336676</v>
      </c>
      <c r="AO2" s="47">
        <v>-34.334846350559033</v>
      </c>
      <c r="AQ2" s="47">
        <v>29.73095509336677</v>
      </c>
      <c r="AR2" s="47">
        <v>-41.327997425066002</v>
      </c>
    </row>
    <row r="3" spans="1:44" x14ac:dyDescent="0.7">
      <c r="A3" s="8">
        <v>0</v>
      </c>
      <c r="B3" s="9">
        <v>19000</v>
      </c>
      <c r="C3" s="10">
        <v>-54.020450186761437</v>
      </c>
      <c r="D3" s="10">
        <f>C3+E3</f>
        <v>-24.872929443394678</v>
      </c>
      <c r="E3" s="10">
        <v>29.147520743366758</v>
      </c>
      <c r="F3" s="11" t="s">
        <v>14</v>
      </c>
      <c r="G3" s="29" t="s">
        <v>22</v>
      </c>
      <c r="H3" s="11"/>
      <c r="I3" s="10"/>
      <c r="J3" s="12"/>
      <c r="K3" s="13">
        <v>1.4999260000000001</v>
      </c>
      <c r="L3" s="13">
        <v>0.18282899999999999</v>
      </c>
      <c r="M3" s="13">
        <f>K3*L3</f>
        <v>0.27422997065400001</v>
      </c>
      <c r="N3" s="13">
        <v>1.8007169999999999</v>
      </c>
      <c r="O3" s="13">
        <v>1.1950000000000001E-3</v>
      </c>
      <c r="P3" s="13">
        <f t="shared" ref="P3:P67" si="0">N3*O3</f>
        <v>2.1518568149999999E-3</v>
      </c>
      <c r="Q3" s="13">
        <v>0.99804300000000001</v>
      </c>
      <c r="R3" s="13">
        <v>2.8609999999999998E-3</v>
      </c>
      <c r="S3" s="13">
        <f>Q3*R3</f>
        <v>2.8554010229999999E-3</v>
      </c>
      <c r="T3" s="13">
        <v>1.7998130000000001</v>
      </c>
      <c r="U3" s="13">
        <v>1.4333E-2</v>
      </c>
      <c r="V3" s="13">
        <f t="shared" ref="V3:V67" si="1">T3*U3</f>
        <v>2.5796719729000002E-2</v>
      </c>
      <c r="W3" s="13">
        <v>0.99805100000000002</v>
      </c>
      <c r="X3" s="13">
        <v>0.27113300000000001</v>
      </c>
      <c r="Y3" s="13">
        <f t="shared" ref="Y3:Y67" si="2">W3*X3</f>
        <v>0.27060456178300002</v>
      </c>
      <c r="Z3" s="14">
        <f t="shared" ref="Z3:Z67" si="3">M3+P3+S3+V3+Y3</f>
        <v>0.57563851000400001</v>
      </c>
    </row>
    <row r="4" spans="1:44" x14ac:dyDescent="0.7">
      <c r="A4" s="8">
        <v>1</v>
      </c>
      <c r="B4" s="9">
        <v>19000</v>
      </c>
      <c r="C4" s="10">
        <v>-52.020450186761437</v>
      </c>
      <c r="D4" s="10">
        <f t="shared" ref="D4:D34" si="4">C4+E4</f>
        <v>-22.419023443394668</v>
      </c>
      <c r="E4" s="10">
        <v>29.601426743366769</v>
      </c>
      <c r="F4" s="11" t="s">
        <v>14</v>
      </c>
      <c r="G4" s="29" t="s">
        <v>22</v>
      </c>
      <c r="H4" s="11"/>
      <c r="I4" s="10"/>
      <c r="J4" s="12"/>
      <c r="K4" s="13">
        <v>1.4999260000000001</v>
      </c>
      <c r="L4" s="13">
        <v>0.18462500000000001</v>
      </c>
      <c r="M4" s="13">
        <f t="shared" ref="M4:M68" si="5">K4*L4</f>
        <v>0.27692383775000001</v>
      </c>
      <c r="N4" s="13">
        <v>1.8007169999999999</v>
      </c>
      <c r="O4" s="13">
        <v>1.302E-3</v>
      </c>
      <c r="P4" s="13">
        <f t="shared" si="0"/>
        <v>2.3445335339999998E-3</v>
      </c>
      <c r="Q4" s="13">
        <v>0.99804300000000001</v>
      </c>
      <c r="R4" s="13">
        <v>2.8830000000000001E-3</v>
      </c>
      <c r="S4" s="13">
        <f t="shared" ref="S4:S68" si="6">Q4*R4</f>
        <v>2.8773579690000001E-3</v>
      </c>
      <c r="T4" s="13">
        <v>1.7998130000000001</v>
      </c>
      <c r="U4" s="13">
        <v>1.4463999999999999E-2</v>
      </c>
      <c r="V4" s="13">
        <f t="shared" si="1"/>
        <v>2.6032495232000002E-2</v>
      </c>
      <c r="W4" s="13">
        <v>0.99888600000000005</v>
      </c>
      <c r="X4" s="13">
        <v>0.27218399999999998</v>
      </c>
      <c r="Y4" s="13">
        <f t="shared" si="2"/>
        <v>0.27188078702399998</v>
      </c>
      <c r="Z4" s="14">
        <f t="shared" si="3"/>
        <v>0.58005901150900008</v>
      </c>
    </row>
    <row r="5" spans="1:44" x14ac:dyDescent="0.7">
      <c r="A5" s="8">
        <v>2</v>
      </c>
      <c r="B5" s="9">
        <v>19000</v>
      </c>
      <c r="C5" s="10">
        <v>-50.020450186761437</v>
      </c>
      <c r="D5" s="10">
        <f t="shared" si="4"/>
        <v>-20.202767843394668</v>
      </c>
      <c r="E5" s="10">
        <v>29.817682343366769</v>
      </c>
      <c r="F5" s="11" t="s">
        <v>13</v>
      </c>
      <c r="G5" s="29" t="s">
        <v>22</v>
      </c>
      <c r="H5" s="11"/>
      <c r="I5" s="10"/>
      <c r="J5" s="12"/>
      <c r="K5" s="13">
        <v>1.4999260000000001</v>
      </c>
      <c r="L5" s="13">
        <v>0.18495200000000001</v>
      </c>
      <c r="M5" s="13">
        <f t="shared" si="5"/>
        <v>0.27741431355200002</v>
      </c>
      <c r="N5" s="13">
        <v>1.8007169999999999</v>
      </c>
      <c r="O5" s="13">
        <v>1.302E-3</v>
      </c>
      <c r="P5" s="13">
        <f t="shared" si="0"/>
        <v>2.3445335339999998E-3</v>
      </c>
      <c r="Q5" s="13">
        <v>0.99804300000000001</v>
      </c>
      <c r="R5" s="13">
        <v>2.885E-3</v>
      </c>
      <c r="S5" s="13">
        <f t="shared" si="6"/>
        <v>2.879354055E-3</v>
      </c>
      <c r="T5" s="13">
        <v>1.7998130000000001</v>
      </c>
      <c r="U5" s="13">
        <v>1.4475999999999999E-2</v>
      </c>
      <c r="V5" s="13">
        <f t="shared" si="1"/>
        <v>2.6054092987999999E-2</v>
      </c>
      <c r="W5" s="13">
        <v>0.99888600000000005</v>
      </c>
      <c r="X5" s="13">
        <v>0.272316</v>
      </c>
      <c r="Y5" s="13">
        <f t="shared" si="2"/>
        <v>0.272012639976</v>
      </c>
      <c r="Z5" s="14">
        <f t="shared" si="3"/>
        <v>0.58070493410500001</v>
      </c>
    </row>
    <row r="6" spans="1:44" x14ac:dyDescent="0.7">
      <c r="A6" s="8">
        <v>3</v>
      </c>
      <c r="B6" s="9">
        <v>19000</v>
      </c>
      <c r="C6" s="10">
        <v>-48.020450186761437</v>
      </c>
      <c r="D6" s="10">
        <f t="shared" si="4"/>
        <v>-18.013370043394666</v>
      </c>
      <c r="E6" s="10">
        <v>30.007080143366771</v>
      </c>
      <c r="F6" s="11" t="s">
        <v>13</v>
      </c>
      <c r="G6" s="29" t="s">
        <v>22</v>
      </c>
      <c r="H6" s="11"/>
      <c r="I6" s="10"/>
      <c r="J6" s="12"/>
      <c r="K6" s="13">
        <v>1.4999260000000001</v>
      </c>
      <c r="L6" s="13">
        <v>0.18478900000000001</v>
      </c>
      <c r="M6" s="13">
        <f t="shared" si="5"/>
        <v>0.27716982561400005</v>
      </c>
      <c r="N6" s="13">
        <v>1.8007169999999999</v>
      </c>
      <c r="O6" s="13">
        <v>1.3010000000000001E-3</v>
      </c>
      <c r="P6" s="13">
        <f t="shared" si="0"/>
        <v>2.3427328169999999E-3</v>
      </c>
      <c r="Q6" s="13">
        <v>0.99804300000000001</v>
      </c>
      <c r="R6" s="13">
        <v>2.8860000000000001E-3</v>
      </c>
      <c r="S6" s="13">
        <f t="shared" si="6"/>
        <v>2.8803520980000001E-3</v>
      </c>
      <c r="T6" s="13">
        <v>1.7998130000000001</v>
      </c>
      <c r="U6" s="13">
        <v>1.4478E-2</v>
      </c>
      <c r="V6" s="13">
        <f t="shared" si="1"/>
        <v>2.6057692614000001E-2</v>
      </c>
      <c r="W6" s="13">
        <v>0.99888600000000005</v>
      </c>
      <c r="X6" s="13">
        <v>0.27224999999999999</v>
      </c>
      <c r="Y6" s="13">
        <f t="shared" si="2"/>
        <v>0.27194671349999999</v>
      </c>
      <c r="Z6" s="14">
        <f t="shared" si="3"/>
        <v>0.58039731664300009</v>
      </c>
    </row>
    <row r="7" spans="1:44" x14ac:dyDescent="0.7">
      <c r="A7" s="8">
        <v>4</v>
      </c>
      <c r="B7" s="9">
        <v>19000</v>
      </c>
      <c r="C7" s="10">
        <v>-46.020450186761437</v>
      </c>
      <c r="D7" s="10">
        <f t="shared" si="4"/>
        <v>-15.954884843394666</v>
      </c>
      <c r="E7" s="10">
        <v>30.065565343366771</v>
      </c>
      <c r="F7" s="11" t="s">
        <v>13</v>
      </c>
      <c r="G7" s="29" t="s">
        <v>22</v>
      </c>
      <c r="H7" s="11"/>
      <c r="I7" s="10"/>
      <c r="J7" s="12"/>
      <c r="K7" s="13">
        <v>1.4999260000000001</v>
      </c>
      <c r="L7" s="13">
        <v>0.18495200000000001</v>
      </c>
      <c r="M7" s="13">
        <f t="shared" si="5"/>
        <v>0.27741431355200002</v>
      </c>
      <c r="N7" s="13">
        <v>1.8007169999999999</v>
      </c>
      <c r="O7" s="13">
        <v>1.3010000000000001E-3</v>
      </c>
      <c r="P7" s="13">
        <f t="shared" si="0"/>
        <v>2.3427328169999999E-3</v>
      </c>
      <c r="Q7" s="13">
        <v>0.99804300000000001</v>
      </c>
      <c r="R7" s="13">
        <v>2.8879999999999999E-3</v>
      </c>
      <c r="S7" s="13">
        <f t="shared" si="6"/>
        <v>2.882348184E-3</v>
      </c>
      <c r="T7" s="13">
        <v>1.7998130000000001</v>
      </c>
      <c r="U7" s="13">
        <v>1.4496999999999999E-2</v>
      </c>
      <c r="V7" s="13">
        <f t="shared" si="1"/>
        <v>2.6091889061E-2</v>
      </c>
      <c r="W7" s="13">
        <v>0.99888600000000005</v>
      </c>
      <c r="X7" s="13">
        <v>0.27244699999999999</v>
      </c>
      <c r="Y7" s="13">
        <f t="shared" si="2"/>
        <v>0.272143494042</v>
      </c>
      <c r="Z7" s="14">
        <f t="shared" si="3"/>
        <v>0.58087477765600004</v>
      </c>
    </row>
    <row r="8" spans="1:44" x14ac:dyDescent="0.7">
      <c r="A8" s="8">
        <v>5</v>
      </c>
      <c r="B8" s="9">
        <v>19000</v>
      </c>
      <c r="C8" s="10">
        <v>-44.020450186761437</v>
      </c>
      <c r="D8" s="10">
        <f t="shared" si="4"/>
        <v>-13.907150043394665</v>
      </c>
      <c r="E8" s="10">
        <v>30.113300143366772</v>
      </c>
      <c r="F8" s="11" t="s">
        <v>13</v>
      </c>
      <c r="G8" s="29" t="s">
        <v>22</v>
      </c>
      <c r="H8" s="11"/>
      <c r="I8" s="10"/>
      <c r="J8" s="12"/>
      <c r="K8" s="13">
        <v>1.4999260000000001</v>
      </c>
      <c r="L8" s="13">
        <v>0.185278</v>
      </c>
      <c r="M8" s="13">
        <f t="shared" si="5"/>
        <v>0.27790328942800002</v>
      </c>
      <c r="N8" s="13">
        <v>1.8007169999999999</v>
      </c>
      <c r="O8" s="13">
        <v>1.3010000000000001E-3</v>
      </c>
      <c r="P8" s="13">
        <f t="shared" si="0"/>
        <v>2.3427328169999999E-3</v>
      </c>
      <c r="Q8" s="13">
        <v>0.99804300000000001</v>
      </c>
      <c r="R8" s="13">
        <v>2.8879999999999999E-3</v>
      </c>
      <c r="S8" s="13">
        <f t="shared" si="6"/>
        <v>2.882348184E-3</v>
      </c>
      <c r="T8" s="13">
        <v>1.7998130000000001</v>
      </c>
      <c r="U8" s="13">
        <v>1.4496999999999999E-2</v>
      </c>
      <c r="V8" s="13">
        <f t="shared" si="1"/>
        <v>2.6091889061E-2</v>
      </c>
      <c r="W8" s="13">
        <v>0.99888600000000005</v>
      </c>
      <c r="X8" s="13">
        <v>0.27244699999999999</v>
      </c>
      <c r="Y8" s="13">
        <f t="shared" si="2"/>
        <v>0.272143494042</v>
      </c>
      <c r="Z8" s="14">
        <f t="shared" si="3"/>
        <v>0.58136375353199998</v>
      </c>
    </row>
    <row r="9" spans="1:44" x14ac:dyDescent="0.7">
      <c r="A9" s="8">
        <v>6</v>
      </c>
      <c r="B9" s="9">
        <v>19000</v>
      </c>
      <c r="C9" s="10">
        <v>-42.020450186761437</v>
      </c>
      <c r="D9" s="10">
        <f t="shared" si="4"/>
        <v>-11.956798143394668</v>
      </c>
      <c r="E9" s="10">
        <v>30.063652043366769</v>
      </c>
      <c r="F9" s="11" t="s">
        <v>13</v>
      </c>
      <c r="G9" s="29" t="s">
        <v>22</v>
      </c>
      <c r="H9" s="11"/>
      <c r="I9" s="10"/>
      <c r="J9" s="12"/>
      <c r="K9" s="13">
        <v>1.4999260000000001</v>
      </c>
      <c r="L9" s="13">
        <v>0.185278</v>
      </c>
      <c r="M9" s="13">
        <f t="shared" si="5"/>
        <v>0.27790328942800002</v>
      </c>
      <c r="N9" s="13">
        <v>1.8007169999999999</v>
      </c>
      <c r="O9" s="13">
        <v>1.3010000000000001E-3</v>
      </c>
      <c r="P9" s="13">
        <f t="shared" si="0"/>
        <v>2.3427328169999999E-3</v>
      </c>
      <c r="Q9" s="13">
        <v>0.99804300000000001</v>
      </c>
      <c r="R9" s="13">
        <v>2.8890000000000001E-3</v>
      </c>
      <c r="S9" s="13">
        <f t="shared" si="6"/>
        <v>2.8833462270000001E-3</v>
      </c>
      <c r="T9" s="13">
        <v>1.7998130000000001</v>
      </c>
      <c r="U9" s="13">
        <v>1.4492E-2</v>
      </c>
      <c r="V9" s="13">
        <f t="shared" si="1"/>
        <v>2.6082889996000003E-2</v>
      </c>
      <c r="W9" s="13">
        <v>0.99888600000000005</v>
      </c>
      <c r="X9" s="13">
        <v>0.27244699999999999</v>
      </c>
      <c r="Y9" s="13">
        <f t="shared" si="2"/>
        <v>0.272143494042</v>
      </c>
      <c r="Z9" s="14">
        <f t="shared" si="3"/>
        <v>0.58135575250999993</v>
      </c>
    </row>
    <row r="10" spans="1:44" x14ac:dyDescent="0.7">
      <c r="A10" s="8">
        <v>7</v>
      </c>
      <c r="B10" s="9">
        <v>19000</v>
      </c>
      <c r="C10" s="10">
        <v>-40.020450186761437</v>
      </c>
      <c r="D10" s="10">
        <f t="shared" si="4"/>
        <v>-10.077204743394667</v>
      </c>
      <c r="E10" s="10">
        <v>29.94324544336677</v>
      </c>
      <c r="F10" s="11" t="s">
        <v>13</v>
      </c>
      <c r="G10" s="29" t="s">
        <v>22</v>
      </c>
      <c r="H10" s="11"/>
      <c r="I10" s="10"/>
      <c r="J10" s="12"/>
      <c r="K10" s="13">
        <v>1.4999260000000001</v>
      </c>
      <c r="L10" s="13">
        <v>0.185442</v>
      </c>
      <c r="M10" s="13">
        <f t="shared" si="5"/>
        <v>0.27814927729200001</v>
      </c>
      <c r="N10" s="13">
        <v>1.8007169999999999</v>
      </c>
      <c r="O10" s="13">
        <v>1.3010000000000001E-3</v>
      </c>
      <c r="P10" s="13">
        <f t="shared" si="0"/>
        <v>2.3427328169999999E-3</v>
      </c>
      <c r="Q10" s="13">
        <v>0.99804300000000001</v>
      </c>
      <c r="R10" s="13">
        <v>2.8890000000000001E-3</v>
      </c>
      <c r="S10" s="13">
        <f t="shared" si="6"/>
        <v>2.8833462270000001E-3</v>
      </c>
      <c r="T10" s="13">
        <v>1.7998130000000001</v>
      </c>
      <c r="U10" s="13">
        <v>1.4493000000000001E-2</v>
      </c>
      <c r="V10" s="13">
        <f t="shared" si="1"/>
        <v>2.6084689809000004E-2</v>
      </c>
      <c r="W10" s="13">
        <v>0.99888600000000005</v>
      </c>
      <c r="X10" s="13">
        <v>0.27238200000000001</v>
      </c>
      <c r="Y10" s="13">
        <f t="shared" si="2"/>
        <v>0.27207856645200001</v>
      </c>
      <c r="Z10" s="14">
        <f t="shared" si="3"/>
        <v>0.58153861259700002</v>
      </c>
    </row>
    <row r="11" spans="1:44" x14ac:dyDescent="0.7">
      <c r="A11" s="8">
        <v>8</v>
      </c>
      <c r="B11" s="9">
        <v>19000</v>
      </c>
      <c r="C11" s="10">
        <v>-38.020450186761437</v>
      </c>
      <c r="D11" s="10">
        <f t="shared" si="4"/>
        <v>-8.2944487433946676</v>
      </c>
      <c r="E11" s="10">
        <v>29.726001443366769</v>
      </c>
      <c r="F11" s="11" t="s">
        <v>13</v>
      </c>
      <c r="G11" s="29" t="s">
        <v>22</v>
      </c>
      <c r="H11" s="11"/>
      <c r="I11" s="10"/>
      <c r="J11" s="12"/>
      <c r="K11" s="13">
        <v>1.4999260000000001</v>
      </c>
      <c r="L11" s="13">
        <v>0.18576799999999999</v>
      </c>
      <c r="M11" s="13">
        <f t="shared" si="5"/>
        <v>0.27863825316800001</v>
      </c>
      <c r="N11" s="13">
        <v>1.8007169999999999</v>
      </c>
      <c r="O11" s="13">
        <v>1.3010000000000001E-3</v>
      </c>
      <c r="P11" s="13">
        <f t="shared" si="0"/>
        <v>2.3427328169999999E-3</v>
      </c>
      <c r="Q11" s="13">
        <v>0.99804300000000001</v>
      </c>
      <c r="R11" s="13">
        <v>2.8890000000000001E-3</v>
      </c>
      <c r="S11" s="13">
        <f t="shared" si="6"/>
        <v>2.8833462270000001E-3</v>
      </c>
      <c r="T11" s="13">
        <v>1.7998130000000001</v>
      </c>
      <c r="U11" s="13">
        <v>1.4492E-2</v>
      </c>
      <c r="V11" s="13">
        <f t="shared" si="1"/>
        <v>2.6082889996000003E-2</v>
      </c>
      <c r="W11" s="13">
        <v>0.99888600000000005</v>
      </c>
      <c r="X11" s="13">
        <v>0.272316</v>
      </c>
      <c r="Y11" s="13">
        <f t="shared" si="2"/>
        <v>0.272012639976</v>
      </c>
      <c r="Z11" s="14">
        <f t="shared" si="3"/>
        <v>0.58195986218399998</v>
      </c>
    </row>
    <row r="12" spans="1:44" x14ac:dyDescent="0.7">
      <c r="A12" s="8">
        <v>9</v>
      </c>
      <c r="B12" s="9">
        <v>19000</v>
      </c>
      <c r="C12" s="10">
        <v>-36.020450186761437</v>
      </c>
      <c r="D12" s="10">
        <f t="shared" si="4"/>
        <v>-6.6711097433946662</v>
      </c>
      <c r="E12" s="10">
        <v>29.349340443366771</v>
      </c>
      <c r="F12" s="11" t="s">
        <v>13</v>
      </c>
      <c r="G12" s="29" t="s">
        <v>22</v>
      </c>
      <c r="H12" s="11"/>
      <c r="I12" s="10"/>
      <c r="J12" s="12"/>
      <c r="K12" s="13">
        <v>1.4999260000000001</v>
      </c>
      <c r="L12" s="13">
        <v>0.18625800000000001</v>
      </c>
      <c r="M12" s="13">
        <f t="shared" si="5"/>
        <v>0.27937321690800004</v>
      </c>
      <c r="N12" s="13">
        <v>1.8007169999999999</v>
      </c>
      <c r="O12" s="13">
        <v>1.3010000000000001E-3</v>
      </c>
      <c r="P12" s="13">
        <f t="shared" si="0"/>
        <v>2.3427328169999999E-3</v>
      </c>
      <c r="Q12" s="13">
        <v>0.99804300000000001</v>
      </c>
      <c r="R12" s="13">
        <v>2.8909999999999999E-3</v>
      </c>
      <c r="S12" s="13">
        <f t="shared" si="6"/>
        <v>2.885342313E-3</v>
      </c>
      <c r="T12" s="13">
        <v>1.7998130000000001</v>
      </c>
      <c r="U12" s="13">
        <v>1.4499E-2</v>
      </c>
      <c r="V12" s="13">
        <f t="shared" si="1"/>
        <v>2.6095488687000002E-2</v>
      </c>
      <c r="W12" s="13">
        <v>0.99888600000000005</v>
      </c>
      <c r="X12" s="13">
        <v>0.27244699999999999</v>
      </c>
      <c r="Y12" s="13">
        <f t="shared" si="2"/>
        <v>0.272143494042</v>
      </c>
      <c r="Z12" s="14">
        <f t="shared" si="3"/>
        <v>0.58284027476700007</v>
      </c>
    </row>
    <row r="13" spans="1:44" x14ac:dyDescent="0.7">
      <c r="A13" s="32">
        <v>10</v>
      </c>
      <c r="B13" s="33">
        <v>19000</v>
      </c>
      <c r="C13" s="34">
        <v>-34.020450186761437</v>
      </c>
      <c r="D13" s="34">
        <f t="shared" si="4"/>
        <v>-5.3178903433946658</v>
      </c>
      <c r="E13" s="34">
        <v>28.702559843366771</v>
      </c>
      <c r="F13" s="35" t="s">
        <v>13</v>
      </c>
      <c r="G13" s="36" t="s">
        <v>22</v>
      </c>
      <c r="H13" s="36" t="s">
        <v>38</v>
      </c>
      <c r="I13" s="34"/>
      <c r="J13" s="37"/>
      <c r="K13" s="38">
        <v>1.4999260000000001</v>
      </c>
      <c r="L13" s="38">
        <v>0.186748</v>
      </c>
      <c r="M13" s="38">
        <f t="shared" si="5"/>
        <v>0.28010818064800003</v>
      </c>
      <c r="N13" s="38">
        <v>1.8007169999999999</v>
      </c>
      <c r="O13" s="38">
        <v>1.3010000000000001E-3</v>
      </c>
      <c r="P13" s="38">
        <f t="shared" si="0"/>
        <v>2.3427328169999999E-3</v>
      </c>
      <c r="Q13" s="38">
        <v>0.99804300000000001</v>
      </c>
      <c r="R13" s="38">
        <v>2.8900000000000002E-3</v>
      </c>
      <c r="S13" s="38">
        <f t="shared" si="6"/>
        <v>2.8843442700000003E-3</v>
      </c>
      <c r="T13" s="38">
        <v>1.7998130000000001</v>
      </c>
      <c r="U13" s="38">
        <v>1.4515999999999999E-2</v>
      </c>
      <c r="V13" s="38">
        <f t="shared" si="1"/>
        <v>2.6126085508E-2</v>
      </c>
      <c r="W13" s="38">
        <v>0.99888600000000005</v>
      </c>
      <c r="X13" s="38">
        <v>0.27251300000000001</v>
      </c>
      <c r="Y13" s="38">
        <f t="shared" si="2"/>
        <v>0.27220942051800001</v>
      </c>
      <c r="Z13" s="39">
        <f t="shared" si="3"/>
        <v>0.58367076376100002</v>
      </c>
    </row>
    <row r="14" spans="1:44" x14ac:dyDescent="0.7">
      <c r="A14" s="8">
        <v>11</v>
      </c>
      <c r="B14" s="9">
        <v>19000</v>
      </c>
      <c r="C14" s="10">
        <v>-33.020450186761437</v>
      </c>
      <c r="D14" s="10">
        <f t="shared" si="4"/>
        <v>-4.7813485433946674</v>
      </c>
      <c r="E14" s="10">
        <v>28.239101643366769</v>
      </c>
      <c r="F14" s="11" t="s">
        <v>13</v>
      </c>
      <c r="G14" s="29" t="s">
        <v>22</v>
      </c>
      <c r="H14" s="11"/>
      <c r="I14" s="10"/>
      <c r="J14" s="12"/>
      <c r="K14" s="13">
        <v>1.4999260000000001</v>
      </c>
      <c r="L14" s="13">
        <v>0.18707399999999999</v>
      </c>
      <c r="M14" s="13">
        <f t="shared" si="5"/>
        <v>0.28059715652400002</v>
      </c>
      <c r="N14" s="13">
        <v>1.8007169999999999</v>
      </c>
      <c r="O14" s="13">
        <v>1.3010000000000001E-3</v>
      </c>
      <c r="P14" s="13">
        <f t="shared" si="0"/>
        <v>2.3427328169999999E-3</v>
      </c>
      <c r="Q14" s="13">
        <v>0.99804300000000001</v>
      </c>
      <c r="R14" s="13">
        <v>2.8909999999999999E-3</v>
      </c>
      <c r="S14" s="13">
        <f t="shared" si="6"/>
        <v>2.885342313E-3</v>
      </c>
      <c r="T14" s="13">
        <v>1.7998130000000001</v>
      </c>
      <c r="U14" s="13">
        <v>1.4506E-2</v>
      </c>
      <c r="V14" s="13">
        <f t="shared" si="1"/>
        <v>2.6108087378000001E-2</v>
      </c>
      <c r="W14" s="13">
        <v>0.99888600000000005</v>
      </c>
      <c r="X14" s="13">
        <v>0.27251300000000001</v>
      </c>
      <c r="Y14" s="13">
        <f t="shared" si="2"/>
        <v>0.27220942051800001</v>
      </c>
      <c r="Z14" s="14">
        <f t="shared" si="3"/>
        <v>0.58414273955000007</v>
      </c>
    </row>
    <row r="15" spans="1:44" x14ac:dyDescent="0.7">
      <c r="A15" s="8">
        <v>12</v>
      </c>
      <c r="B15" s="9">
        <v>19000</v>
      </c>
      <c r="C15" s="10">
        <v>-32.020450186761437</v>
      </c>
      <c r="D15" s="10">
        <f t="shared" si="4"/>
        <v>-4.3464392433946664</v>
      </c>
      <c r="E15" s="10">
        <v>27.67401094336677</v>
      </c>
      <c r="F15" s="11" t="s">
        <v>13</v>
      </c>
      <c r="G15" s="29" t="s">
        <v>22</v>
      </c>
      <c r="H15" s="11"/>
      <c r="I15" s="10"/>
      <c r="J15" s="12"/>
      <c r="K15" s="13">
        <v>1.4999260000000001</v>
      </c>
      <c r="L15" s="13">
        <v>0.18756400000000001</v>
      </c>
      <c r="M15" s="13">
        <f t="shared" si="5"/>
        <v>0.28133212026400001</v>
      </c>
      <c r="N15" s="13">
        <v>1.8007169999999999</v>
      </c>
      <c r="O15" s="13">
        <v>1.3010000000000001E-3</v>
      </c>
      <c r="P15" s="13">
        <f t="shared" si="0"/>
        <v>2.3427328169999999E-3</v>
      </c>
      <c r="Q15" s="13">
        <v>0.99804300000000001</v>
      </c>
      <c r="R15" s="13">
        <v>2.8909999999999999E-3</v>
      </c>
      <c r="S15" s="13">
        <f t="shared" si="6"/>
        <v>2.885342313E-3</v>
      </c>
      <c r="T15" s="13">
        <v>1.7998130000000001</v>
      </c>
      <c r="U15" s="13">
        <v>1.4504E-2</v>
      </c>
      <c r="V15" s="13">
        <f t="shared" si="1"/>
        <v>2.6104487752E-2</v>
      </c>
      <c r="W15" s="13">
        <v>0.99888600000000005</v>
      </c>
      <c r="X15" s="13">
        <v>0.27238200000000001</v>
      </c>
      <c r="Y15" s="13">
        <f t="shared" si="2"/>
        <v>0.27207856645200001</v>
      </c>
      <c r="Z15" s="14">
        <f t="shared" si="3"/>
        <v>0.58474324959800006</v>
      </c>
    </row>
    <row r="16" spans="1:44" x14ac:dyDescent="0.7">
      <c r="A16" s="8">
        <v>13</v>
      </c>
      <c r="B16" s="9">
        <v>19000</v>
      </c>
      <c r="C16" s="10">
        <v>-31.02045018676144</v>
      </c>
      <c r="D16" s="10">
        <f t="shared" si="4"/>
        <v>-4.0090452433946702</v>
      </c>
      <c r="E16" s="10">
        <v>27.01140494336677</v>
      </c>
      <c r="F16" s="11" t="s">
        <v>13</v>
      </c>
      <c r="G16" s="29" t="s">
        <v>22</v>
      </c>
      <c r="H16" s="11"/>
      <c r="I16" s="10"/>
      <c r="J16" s="12"/>
      <c r="K16" s="13">
        <v>1.4999260000000001</v>
      </c>
      <c r="L16" s="13">
        <v>0.187891</v>
      </c>
      <c r="M16" s="13">
        <f t="shared" si="5"/>
        <v>0.28182259606600002</v>
      </c>
      <c r="N16" s="13">
        <v>1.8007169999999999</v>
      </c>
      <c r="O16" s="13">
        <v>1.3010000000000001E-3</v>
      </c>
      <c r="P16" s="13">
        <f t="shared" si="0"/>
        <v>2.3427328169999999E-3</v>
      </c>
      <c r="Q16" s="13">
        <v>0.99804300000000001</v>
      </c>
      <c r="R16" s="13">
        <v>2.8909999999999999E-3</v>
      </c>
      <c r="S16" s="13">
        <f t="shared" si="6"/>
        <v>2.885342313E-3</v>
      </c>
      <c r="T16" s="13">
        <v>1.7998130000000001</v>
      </c>
      <c r="U16" s="13">
        <v>1.4508999999999999E-2</v>
      </c>
      <c r="V16" s="13">
        <f t="shared" si="1"/>
        <v>2.6113486817000001E-2</v>
      </c>
      <c r="W16" s="13">
        <v>0.99888600000000005</v>
      </c>
      <c r="X16" s="13">
        <v>0.27251300000000001</v>
      </c>
      <c r="Y16" s="13">
        <f t="shared" si="2"/>
        <v>0.27220942051800001</v>
      </c>
      <c r="Z16" s="14">
        <f t="shared" si="3"/>
        <v>0.58537357853100003</v>
      </c>
    </row>
    <row r="17" spans="1:26" x14ac:dyDescent="0.7">
      <c r="A17" s="8">
        <v>14</v>
      </c>
      <c r="B17" s="9">
        <v>19000</v>
      </c>
      <c r="C17" s="10">
        <v>-30.02045018676144</v>
      </c>
      <c r="D17" s="10">
        <f t="shared" si="4"/>
        <v>-3.7860448433946701</v>
      </c>
      <c r="E17" s="10">
        <v>26.23440534336677</v>
      </c>
      <c r="F17" s="11" t="s">
        <v>13</v>
      </c>
      <c r="G17" s="29" t="s">
        <v>22</v>
      </c>
      <c r="H17" s="11"/>
      <c r="I17" s="10"/>
      <c r="J17" s="12"/>
      <c r="K17" s="13">
        <v>1.4999260000000001</v>
      </c>
      <c r="L17" s="13">
        <v>0.18838099999999999</v>
      </c>
      <c r="M17" s="13">
        <f t="shared" si="5"/>
        <v>0.282557559806</v>
      </c>
      <c r="N17" s="13">
        <v>1.8007169999999999</v>
      </c>
      <c r="O17" s="13">
        <v>1.3010000000000001E-3</v>
      </c>
      <c r="P17" s="13">
        <f t="shared" si="0"/>
        <v>2.3427328169999999E-3</v>
      </c>
      <c r="Q17" s="13">
        <v>0.99804300000000001</v>
      </c>
      <c r="R17" s="13">
        <v>2.892E-3</v>
      </c>
      <c r="S17" s="13">
        <f t="shared" si="6"/>
        <v>2.8863403560000001E-3</v>
      </c>
      <c r="T17" s="13">
        <v>1.7998130000000001</v>
      </c>
      <c r="U17" s="13">
        <v>1.4522E-2</v>
      </c>
      <c r="V17" s="13">
        <f t="shared" si="1"/>
        <v>2.6136884386000002E-2</v>
      </c>
      <c r="W17" s="13">
        <v>0.99888600000000005</v>
      </c>
      <c r="X17" s="13">
        <v>0.272644</v>
      </c>
      <c r="Y17" s="13">
        <f t="shared" si="2"/>
        <v>0.27234027458400001</v>
      </c>
      <c r="Z17" s="14">
        <f t="shared" si="3"/>
        <v>0.58626379194899991</v>
      </c>
    </row>
    <row r="18" spans="1:26" x14ac:dyDescent="0.7">
      <c r="A18" s="8">
        <v>15</v>
      </c>
      <c r="B18" s="9">
        <v>19000</v>
      </c>
      <c r="C18" s="10">
        <v>-29.02045018676144</v>
      </c>
      <c r="D18" s="10">
        <f t="shared" si="4"/>
        <v>-3.6782376433946702</v>
      </c>
      <c r="E18" s="10">
        <v>25.34221254336677</v>
      </c>
      <c r="F18" s="11" t="s">
        <v>13</v>
      </c>
      <c r="G18" s="29" t="s">
        <v>22</v>
      </c>
      <c r="H18" s="11"/>
      <c r="I18" s="10"/>
      <c r="J18" s="12"/>
      <c r="K18" s="13">
        <v>1.4999260000000001</v>
      </c>
      <c r="L18" s="13">
        <v>0.18887100000000001</v>
      </c>
      <c r="M18" s="13">
        <f t="shared" si="5"/>
        <v>0.28329252354600004</v>
      </c>
      <c r="N18" s="13">
        <v>1.8007169999999999</v>
      </c>
      <c r="O18" s="13">
        <v>1.3010000000000001E-3</v>
      </c>
      <c r="P18" s="13">
        <f t="shared" si="0"/>
        <v>2.3427328169999999E-3</v>
      </c>
      <c r="Q18" s="13">
        <v>0.99804300000000001</v>
      </c>
      <c r="R18" s="13">
        <v>2.892E-3</v>
      </c>
      <c r="S18" s="13">
        <f t="shared" si="6"/>
        <v>2.8863403560000001E-3</v>
      </c>
      <c r="T18" s="13">
        <v>1.7998130000000001</v>
      </c>
      <c r="U18" s="13">
        <v>1.4515999999999999E-2</v>
      </c>
      <c r="V18" s="13">
        <f t="shared" si="1"/>
        <v>2.6126085508E-2</v>
      </c>
      <c r="W18" s="13">
        <v>0.99888600000000005</v>
      </c>
      <c r="X18" s="13">
        <v>0.27257900000000002</v>
      </c>
      <c r="Y18" s="13">
        <f t="shared" si="2"/>
        <v>0.27227534699400002</v>
      </c>
      <c r="Z18" s="14">
        <f t="shared" si="3"/>
        <v>0.58692302922100004</v>
      </c>
    </row>
    <row r="19" spans="1:26" x14ac:dyDescent="0.7">
      <c r="A19" s="8">
        <v>16</v>
      </c>
      <c r="B19" s="9">
        <v>19000</v>
      </c>
      <c r="C19" s="10">
        <v>-28.02045018676144</v>
      </c>
      <c r="D19" s="10">
        <f t="shared" si="4"/>
        <v>-3.6588361433946694</v>
      </c>
      <c r="E19" s="10">
        <v>24.361614043366771</v>
      </c>
      <c r="F19" s="11" t="s">
        <v>13</v>
      </c>
      <c r="G19" s="29" t="s">
        <v>22</v>
      </c>
      <c r="H19" s="11"/>
      <c r="I19" s="10"/>
      <c r="J19" s="12"/>
      <c r="K19" s="13">
        <v>1.4999260000000001</v>
      </c>
      <c r="L19" s="13">
        <v>0.18936</v>
      </c>
      <c r="M19" s="13">
        <f t="shared" si="5"/>
        <v>0.28402598736000001</v>
      </c>
      <c r="N19" s="13">
        <v>1.8007169999999999</v>
      </c>
      <c r="O19" s="13">
        <v>1.2999999999999999E-3</v>
      </c>
      <c r="P19" s="13">
        <f t="shared" si="0"/>
        <v>2.3409320999999996E-3</v>
      </c>
      <c r="Q19" s="13">
        <v>0.99804300000000001</v>
      </c>
      <c r="R19" s="13">
        <v>2.892E-3</v>
      </c>
      <c r="S19" s="13">
        <f t="shared" si="6"/>
        <v>2.8863403560000001E-3</v>
      </c>
      <c r="T19" s="13">
        <v>1.7998130000000001</v>
      </c>
      <c r="U19" s="13">
        <v>1.4515999999999999E-2</v>
      </c>
      <c r="V19" s="13">
        <f t="shared" si="1"/>
        <v>2.6126085508E-2</v>
      </c>
      <c r="W19" s="13">
        <v>0.99888600000000005</v>
      </c>
      <c r="X19" s="13">
        <v>0.27257900000000002</v>
      </c>
      <c r="Y19" s="13">
        <f t="shared" si="2"/>
        <v>0.27227534699400002</v>
      </c>
      <c r="Z19" s="14">
        <f t="shared" si="3"/>
        <v>0.58765469231800005</v>
      </c>
    </row>
    <row r="20" spans="1:26" x14ac:dyDescent="0.7">
      <c r="A20" s="8">
        <v>17</v>
      </c>
      <c r="B20" s="9">
        <v>19000</v>
      </c>
      <c r="C20" s="10">
        <v>-27.02045018676144</v>
      </c>
      <c r="D20" s="10">
        <f t="shared" si="4"/>
        <v>-3.7139930433946695</v>
      </c>
      <c r="E20" s="10">
        <v>23.306457143366771</v>
      </c>
      <c r="F20" s="11" t="s">
        <v>13</v>
      </c>
      <c r="G20" s="29" t="s">
        <v>22</v>
      </c>
      <c r="H20" s="11"/>
      <c r="I20" s="10"/>
      <c r="J20" s="12"/>
      <c r="K20" s="13">
        <v>1.4999260000000001</v>
      </c>
      <c r="L20" s="13">
        <v>0.19017700000000001</v>
      </c>
      <c r="M20" s="13">
        <f t="shared" si="5"/>
        <v>0.28525142690200006</v>
      </c>
      <c r="N20" s="13">
        <v>1.8007169999999999</v>
      </c>
      <c r="O20" s="13">
        <v>1.3010000000000001E-3</v>
      </c>
      <c r="P20" s="13">
        <f t="shared" si="0"/>
        <v>2.3427328169999999E-3</v>
      </c>
      <c r="Q20" s="13">
        <v>0.99804300000000001</v>
      </c>
      <c r="R20" s="13">
        <v>2.8930000000000002E-3</v>
      </c>
      <c r="S20" s="13">
        <f t="shared" si="6"/>
        <v>2.8873383990000003E-3</v>
      </c>
      <c r="T20" s="13">
        <v>1.7998130000000001</v>
      </c>
      <c r="U20" s="13">
        <v>1.4527E-2</v>
      </c>
      <c r="V20" s="13">
        <f t="shared" si="1"/>
        <v>2.6145883451000003E-2</v>
      </c>
      <c r="W20" s="13">
        <v>0.99888600000000005</v>
      </c>
      <c r="X20" s="13">
        <v>0.27277600000000002</v>
      </c>
      <c r="Y20" s="13">
        <f t="shared" si="2"/>
        <v>0.27247212753600003</v>
      </c>
      <c r="Z20" s="14">
        <f t="shared" si="3"/>
        <v>0.58909950910500009</v>
      </c>
    </row>
    <row r="21" spans="1:26" x14ac:dyDescent="0.7">
      <c r="A21" s="8">
        <v>18</v>
      </c>
      <c r="B21" s="9">
        <v>19000</v>
      </c>
      <c r="C21" s="10">
        <v>-26.02045018676144</v>
      </c>
      <c r="D21" s="10">
        <f t="shared" si="4"/>
        <v>-3.8258094433946717</v>
      </c>
      <c r="E21" s="10">
        <v>22.194640743366769</v>
      </c>
      <c r="F21" s="11" t="s">
        <v>13</v>
      </c>
      <c r="G21" s="29" t="s">
        <v>22</v>
      </c>
      <c r="H21" s="11"/>
      <c r="I21" s="10"/>
      <c r="J21" s="12"/>
      <c r="K21" s="13">
        <v>1.4999260000000001</v>
      </c>
      <c r="L21" s="13">
        <v>0.19083</v>
      </c>
      <c r="M21" s="13">
        <f t="shared" si="5"/>
        <v>0.28623087858000001</v>
      </c>
      <c r="N21" s="13">
        <v>1.8007169999999999</v>
      </c>
      <c r="O21" s="13">
        <v>1.3010000000000001E-3</v>
      </c>
      <c r="P21" s="13">
        <f t="shared" si="0"/>
        <v>2.3427328169999999E-3</v>
      </c>
      <c r="Q21" s="13">
        <v>0.99804300000000001</v>
      </c>
      <c r="R21" s="13">
        <v>2.8930000000000002E-3</v>
      </c>
      <c r="S21" s="13">
        <f t="shared" si="6"/>
        <v>2.8873383990000003E-3</v>
      </c>
      <c r="T21" s="13">
        <v>1.7998130000000001</v>
      </c>
      <c r="U21" s="13">
        <v>1.453E-2</v>
      </c>
      <c r="V21" s="13">
        <f t="shared" si="1"/>
        <v>2.6151282890000002E-2</v>
      </c>
      <c r="W21" s="13">
        <v>0.99888600000000005</v>
      </c>
      <c r="X21" s="13">
        <v>0.27271000000000001</v>
      </c>
      <c r="Y21" s="13">
        <f t="shared" si="2"/>
        <v>0.27240620106000002</v>
      </c>
      <c r="Z21" s="14">
        <f t="shared" si="3"/>
        <v>0.59001843374600005</v>
      </c>
    </row>
    <row r="22" spans="1:26" x14ac:dyDescent="0.7">
      <c r="A22" s="8">
        <v>19</v>
      </c>
      <c r="B22" s="9">
        <v>19000</v>
      </c>
      <c r="C22" s="10">
        <v>-25.02045018676144</v>
      </c>
      <c r="D22" s="10">
        <f t="shared" si="4"/>
        <v>-3.9635085433946706</v>
      </c>
      <c r="E22" s="10">
        <v>21.05694164336677</v>
      </c>
      <c r="F22" s="11" t="s">
        <v>13</v>
      </c>
      <c r="G22" s="29" t="s">
        <v>22</v>
      </c>
      <c r="H22" s="11"/>
      <c r="I22" s="10"/>
      <c r="J22" s="12"/>
      <c r="K22" s="13">
        <v>1.4999260000000001</v>
      </c>
      <c r="L22" s="13">
        <v>0.19164600000000001</v>
      </c>
      <c r="M22" s="13">
        <f t="shared" si="5"/>
        <v>0.28745481819600005</v>
      </c>
      <c r="N22" s="13">
        <v>1.8007169999999999</v>
      </c>
      <c r="O22" s="13">
        <v>1.3010000000000001E-3</v>
      </c>
      <c r="P22" s="13">
        <f t="shared" si="0"/>
        <v>2.3427328169999999E-3</v>
      </c>
      <c r="Q22" s="13">
        <v>0.99804300000000001</v>
      </c>
      <c r="R22" s="13">
        <v>2.8930000000000002E-3</v>
      </c>
      <c r="S22" s="13">
        <f t="shared" si="6"/>
        <v>2.8873383990000003E-3</v>
      </c>
      <c r="T22" s="13">
        <v>1.7998130000000001</v>
      </c>
      <c r="U22" s="13">
        <v>1.4532E-2</v>
      </c>
      <c r="V22" s="13">
        <f t="shared" si="1"/>
        <v>2.6154882516E-2</v>
      </c>
      <c r="W22" s="13">
        <v>0.99888600000000005</v>
      </c>
      <c r="X22" s="13">
        <v>0.272841</v>
      </c>
      <c r="Y22" s="13">
        <f t="shared" si="2"/>
        <v>0.27253705512600002</v>
      </c>
      <c r="Z22" s="14">
        <f t="shared" si="3"/>
        <v>0.59137682705400008</v>
      </c>
    </row>
    <row r="23" spans="1:26" x14ac:dyDescent="0.7">
      <c r="A23" s="8">
        <v>20</v>
      </c>
      <c r="B23" s="9">
        <v>19000</v>
      </c>
      <c r="C23" s="10">
        <v>-24.02045018676144</v>
      </c>
      <c r="D23" s="10">
        <f t="shared" si="4"/>
        <v>-4.1006033433946705</v>
      </c>
      <c r="E23" s="10">
        <v>19.91984684336677</v>
      </c>
      <c r="F23" s="11" t="s">
        <v>13</v>
      </c>
      <c r="G23" s="29" t="s">
        <v>22</v>
      </c>
      <c r="H23" s="11"/>
      <c r="I23" s="10"/>
      <c r="J23" s="12"/>
      <c r="K23" s="13">
        <v>1.4999260000000001</v>
      </c>
      <c r="L23" s="13">
        <v>0.192299</v>
      </c>
      <c r="M23" s="13">
        <f t="shared" si="5"/>
        <v>0.288434269874</v>
      </c>
      <c r="N23" s="13">
        <v>1.8007169999999999</v>
      </c>
      <c r="O23" s="13">
        <v>1.3010000000000001E-3</v>
      </c>
      <c r="P23" s="13">
        <f t="shared" si="0"/>
        <v>2.3427328169999999E-3</v>
      </c>
      <c r="Q23" s="13">
        <v>0.99804300000000001</v>
      </c>
      <c r="R23" s="13">
        <v>2.8939999999999999E-3</v>
      </c>
      <c r="S23" s="13">
        <f t="shared" si="6"/>
        <v>2.888336442E-3</v>
      </c>
      <c r="T23" s="13">
        <v>1.7998130000000001</v>
      </c>
      <c r="U23" s="13">
        <v>1.4543E-2</v>
      </c>
      <c r="V23" s="13">
        <f t="shared" si="1"/>
        <v>2.6174680459000003E-2</v>
      </c>
      <c r="W23" s="13">
        <v>0.99888600000000005</v>
      </c>
      <c r="X23" s="13">
        <v>0.272841</v>
      </c>
      <c r="Y23" s="13">
        <f t="shared" si="2"/>
        <v>0.27253705512600002</v>
      </c>
      <c r="Z23" s="14">
        <f t="shared" si="3"/>
        <v>0.59237707471799994</v>
      </c>
    </row>
    <row r="24" spans="1:26" x14ac:dyDescent="0.7">
      <c r="A24" s="8">
        <v>21</v>
      </c>
      <c r="B24" s="9">
        <v>19000</v>
      </c>
      <c r="C24" s="10">
        <v>-23.02045018676144</v>
      </c>
      <c r="D24" s="10">
        <f t="shared" si="4"/>
        <v>-4.2242128433946711</v>
      </c>
      <c r="E24" s="10">
        <v>18.796237343366769</v>
      </c>
      <c r="F24" s="11" t="s">
        <v>13</v>
      </c>
      <c r="G24" s="29" t="s">
        <v>22</v>
      </c>
      <c r="H24" s="29"/>
      <c r="I24" s="10"/>
      <c r="J24" s="12"/>
      <c r="K24" s="13">
        <v>1.4999260000000001</v>
      </c>
      <c r="L24" s="13">
        <v>0.19327900000000001</v>
      </c>
      <c r="M24" s="13">
        <f t="shared" si="5"/>
        <v>0.28990419735400003</v>
      </c>
      <c r="N24" s="13">
        <v>1.8007169999999999</v>
      </c>
      <c r="O24" s="13">
        <v>1.3010000000000001E-3</v>
      </c>
      <c r="P24" s="13">
        <f t="shared" si="0"/>
        <v>2.3427328169999999E-3</v>
      </c>
      <c r="Q24" s="13">
        <v>0.99804300000000001</v>
      </c>
      <c r="R24" s="13">
        <v>2.8939999999999999E-3</v>
      </c>
      <c r="S24" s="13">
        <f t="shared" si="6"/>
        <v>2.888336442E-3</v>
      </c>
      <c r="T24" s="13">
        <v>1.7998130000000001</v>
      </c>
      <c r="U24" s="13">
        <v>1.4537E-2</v>
      </c>
      <c r="V24" s="13">
        <f t="shared" si="1"/>
        <v>2.6163881581000002E-2</v>
      </c>
      <c r="W24" s="13">
        <v>0.99888600000000005</v>
      </c>
      <c r="X24" s="13">
        <v>0.27277600000000002</v>
      </c>
      <c r="Y24" s="13">
        <f t="shared" si="2"/>
        <v>0.27247212753600003</v>
      </c>
      <c r="Z24" s="14">
        <f t="shared" si="3"/>
        <v>0.59377127572999999</v>
      </c>
    </row>
    <row r="25" spans="1:26" x14ac:dyDescent="0.7">
      <c r="A25" s="8">
        <v>22</v>
      </c>
      <c r="B25" s="9">
        <v>19000</v>
      </c>
      <c r="C25" s="10">
        <v>-22.02045018676144</v>
      </c>
      <c r="D25" s="10">
        <f t="shared" si="4"/>
        <v>-4.3217869433946703</v>
      </c>
      <c r="E25" s="10">
        <v>17.69866324336677</v>
      </c>
      <c r="F25" s="11" t="s">
        <v>13</v>
      </c>
      <c r="G25" s="29" t="s">
        <v>22</v>
      </c>
      <c r="H25" s="11"/>
      <c r="I25" s="10"/>
      <c r="J25" s="12"/>
      <c r="K25" s="13">
        <v>1.4999260000000001</v>
      </c>
      <c r="L25" s="13">
        <v>0.19393199999999999</v>
      </c>
      <c r="M25" s="13">
        <f t="shared" si="5"/>
        <v>0.29088364903199998</v>
      </c>
      <c r="N25" s="13">
        <v>1.8007169999999999</v>
      </c>
      <c r="O25" s="13">
        <v>1.3010000000000001E-3</v>
      </c>
      <c r="P25" s="13">
        <f t="shared" si="0"/>
        <v>2.3427328169999999E-3</v>
      </c>
      <c r="Q25" s="13">
        <v>0.99804300000000001</v>
      </c>
      <c r="R25" s="13">
        <v>2.8939999999999999E-3</v>
      </c>
      <c r="S25" s="13">
        <f t="shared" si="6"/>
        <v>2.888336442E-3</v>
      </c>
      <c r="T25" s="13">
        <v>1.7998130000000001</v>
      </c>
      <c r="U25" s="13">
        <v>1.4541E-2</v>
      </c>
      <c r="V25" s="13">
        <f t="shared" si="1"/>
        <v>2.6171080833000002E-2</v>
      </c>
      <c r="W25" s="13">
        <v>0.99888600000000005</v>
      </c>
      <c r="X25" s="13">
        <v>0.27297300000000002</v>
      </c>
      <c r="Y25" s="13">
        <f t="shared" si="2"/>
        <v>0.27266890807800004</v>
      </c>
      <c r="Z25" s="14">
        <f t="shared" si="3"/>
        <v>0.59495470720200005</v>
      </c>
    </row>
    <row r="26" spans="1:26" x14ac:dyDescent="0.7">
      <c r="A26" s="8">
        <v>23</v>
      </c>
      <c r="B26" s="9">
        <v>19000</v>
      </c>
      <c r="C26" s="10">
        <v>-21.02045018676144</v>
      </c>
      <c r="D26" s="10">
        <f t="shared" si="4"/>
        <v>-4.3910277433946696</v>
      </c>
      <c r="E26" s="10">
        <v>16.629422443366771</v>
      </c>
      <c r="F26" s="11" t="s">
        <v>13</v>
      </c>
      <c r="G26" s="29" t="s">
        <v>22</v>
      </c>
      <c r="H26" s="11"/>
      <c r="I26" s="10"/>
      <c r="J26" s="12"/>
      <c r="K26" s="13">
        <v>1.4999260000000001</v>
      </c>
      <c r="L26" s="13">
        <v>0.195075</v>
      </c>
      <c r="M26" s="13">
        <f t="shared" si="5"/>
        <v>0.29259806445000003</v>
      </c>
      <c r="N26" s="13">
        <v>1.8007169999999999</v>
      </c>
      <c r="O26" s="13">
        <v>1.3010000000000001E-3</v>
      </c>
      <c r="P26" s="13">
        <f t="shared" si="0"/>
        <v>2.3427328169999999E-3</v>
      </c>
      <c r="Q26" s="13">
        <v>0.99804300000000001</v>
      </c>
      <c r="R26" s="13">
        <v>2.8939999999999999E-3</v>
      </c>
      <c r="S26" s="13">
        <f t="shared" si="6"/>
        <v>2.888336442E-3</v>
      </c>
      <c r="T26" s="13">
        <v>1.7998130000000001</v>
      </c>
      <c r="U26" s="13">
        <v>1.4543E-2</v>
      </c>
      <c r="V26" s="13">
        <f t="shared" si="1"/>
        <v>2.6174680459000003E-2</v>
      </c>
      <c r="W26" s="13">
        <v>0.99888600000000005</v>
      </c>
      <c r="X26" s="13">
        <v>0.27297300000000002</v>
      </c>
      <c r="Y26" s="13">
        <f t="shared" si="2"/>
        <v>0.27266890807800004</v>
      </c>
      <c r="Z26" s="14">
        <f t="shared" si="3"/>
        <v>0.59667272224599999</v>
      </c>
    </row>
    <row r="27" spans="1:26" x14ac:dyDescent="0.7">
      <c r="A27" s="8">
        <v>24</v>
      </c>
      <c r="B27" s="9">
        <v>19000</v>
      </c>
      <c r="C27" s="10">
        <v>-20.02045018676144</v>
      </c>
      <c r="D27" s="10">
        <f t="shared" si="4"/>
        <v>-4.419427443394671</v>
      </c>
      <c r="E27" s="10">
        <v>15.601022743366769</v>
      </c>
      <c r="F27" s="11" t="s">
        <v>13</v>
      </c>
      <c r="G27" s="29" t="s">
        <v>22</v>
      </c>
      <c r="H27" s="11"/>
      <c r="I27" s="10"/>
      <c r="J27" s="12"/>
      <c r="K27" s="13">
        <v>1.4999260000000001</v>
      </c>
      <c r="L27" s="13">
        <v>0.19605500000000001</v>
      </c>
      <c r="M27" s="13">
        <f t="shared" si="5"/>
        <v>0.29406799193000005</v>
      </c>
      <c r="N27" s="13">
        <v>1.8007169999999999</v>
      </c>
      <c r="O27" s="13">
        <v>1.3010000000000001E-3</v>
      </c>
      <c r="P27" s="13">
        <f t="shared" si="0"/>
        <v>2.3427328169999999E-3</v>
      </c>
      <c r="Q27" s="13">
        <v>0.99804300000000001</v>
      </c>
      <c r="R27" s="13">
        <v>2.895E-3</v>
      </c>
      <c r="S27" s="13">
        <f t="shared" si="6"/>
        <v>2.8893344850000001E-3</v>
      </c>
      <c r="T27" s="13">
        <v>1.7998130000000001</v>
      </c>
      <c r="U27" s="13">
        <v>1.4537E-2</v>
      </c>
      <c r="V27" s="13">
        <f t="shared" si="1"/>
        <v>2.6163881581000002E-2</v>
      </c>
      <c r="W27" s="13">
        <v>0.99888600000000005</v>
      </c>
      <c r="X27" s="13">
        <v>0.27303899999999998</v>
      </c>
      <c r="Y27" s="13">
        <f t="shared" si="2"/>
        <v>0.27273483455399999</v>
      </c>
      <c r="Z27" s="14">
        <f t="shared" si="3"/>
        <v>0.59819877536700006</v>
      </c>
    </row>
    <row r="28" spans="1:26" x14ac:dyDescent="0.7">
      <c r="A28" s="8">
        <v>25</v>
      </c>
      <c r="B28" s="9">
        <v>19000</v>
      </c>
      <c r="C28" s="10">
        <v>-19.02045018676144</v>
      </c>
      <c r="D28" s="10">
        <f t="shared" si="4"/>
        <v>-4.4041221433946696</v>
      </c>
      <c r="E28" s="10">
        <v>14.616328043366771</v>
      </c>
      <c r="F28" s="11" t="s">
        <v>13</v>
      </c>
      <c r="G28" s="29" t="s">
        <v>22</v>
      </c>
      <c r="H28" s="11"/>
      <c r="I28" s="10"/>
      <c r="J28" s="12"/>
      <c r="K28" s="13">
        <v>1.4999260000000001</v>
      </c>
      <c r="L28" s="13">
        <v>0.19719800000000001</v>
      </c>
      <c r="M28" s="13">
        <f t="shared" si="5"/>
        <v>0.29578240734800004</v>
      </c>
      <c r="N28" s="13">
        <v>1.8007169999999999</v>
      </c>
      <c r="O28" s="13">
        <v>1.2999999999999999E-3</v>
      </c>
      <c r="P28" s="13">
        <f t="shared" si="0"/>
        <v>2.3409320999999996E-3</v>
      </c>
      <c r="Q28" s="13">
        <v>0.99804300000000001</v>
      </c>
      <c r="R28" s="13">
        <v>2.895E-3</v>
      </c>
      <c r="S28" s="13">
        <f t="shared" si="6"/>
        <v>2.8893344850000001E-3</v>
      </c>
      <c r="T28" s="13">
        <v>1.7998130000000001</v>
      </c>
      <c r="U28" s="13">
        <v>1.4539E-2</v>
      </c>
      <c r="V28" s="13">
        <f t="shared" si="1"/>
        <v>2.6167481207E-2</v>
      </c>
      <c r="W28" s="13">
        <v>0.99888600000000005</v>
      </c>
      <c r="X28" s="13">
        <v>0.27297300000000002</v>
      </c>
      <c r="Y28" s="13">
        <f t="shared" si="2"/>
        <v>0.27266890807800004</v>
      </c>
      <c r="Z28" s="14">
        <f t="shared" si="3"/>
        <v>0.59984906321800013</v>
      </c>
    </row>
    <row r="29" spans="1:26" x14ac:dyDescent="0.7">
      <c r="A29" s="8">
        <v>26</v>
      </c>
      <c r="B29" s="9">
        <v>19000</v>
      </c>
      <c r="C29" s="10">
        <v>-18.02045018676144</v>
      </c>
      <c r="D29" s="10">
        <f t="shared" si="4"/>
        <v>-4.3355164433946705</v>
      </c>
      <c r="E29" s="10">
        <v>13.68493374336677</v>
      </c>
      <c r="F29" s="11" t="s">
        <v>13</v>
      </c>
      <c r="G29" s="29" t="s">
        <v>22</v>
      </c>
      <c r="H29" s="11"/>
      <c r="I29" s="10"/>
      <c r="J29" s="12"/>
      <c r="K29" s="13">
        <v>1.4999260000000001</v>
      </c>
      <c r="L29" s="13">
        <v>0.19834099999999999</v>
      </c>
      <c r="M29" s="13">
        <f t="shared" si="5"/>
        <v>0.29749682276599998</v>
      </c>
      <c r="N29" s="13">
        <v>1.8007169999999999</v>
      </c>
      <c r="O29" s="13">
        <v>1.2999999999999999E-3</v>
      </c>
      <c r="P29" s="13">
        <f t="shared" si="0"/>
        <v>2.3409320999999996E-3</v>
      </c>
      <c r="Q29" s="13">
        <v>0.99804300000000001</v>
      </c>
      <c r="R29" s="13">
        <v>2.895E-3</v>
      </c>
      <c r="S29" s="13">
        <f t="shared" si="6"/>
        <v>2.8893344850000001E-3</v>
      </c>
      <c r="T29" s="13">
        <v>1.7998130000000001</v>
      </c>
      <c r="U29" s="13">
        <v>1.4546E-2</v>
      </c>
      <c r="V29" s="13">
        <f t="shared" si="1"/>
        <v>2.6180079898000003E-2</v>
      </c>
      <c r="W29" s="13">
        <v>0.99888600000000005</v>
      </c>
      <c r="X29" s="13">
        <v>0.27303899999999998</v>
      </c>
      <c r="Y29" s="13">
        <f t="shared" si="2"/>
        <v>0.27273483455399999</v>
      </c>
      <c r="Z29" s="14">
        <f t="shared" si="3"/>
        <v>0.60164200380299993</v>
      </c>
    </row>
    <row r="30" spans="1:26" x14ac:dyDescent="0.7">
      <c r="A30" s="8">
        <v>27</v>
      </c>
      <c r="B30" s="9">
        <v>19000</v>
      </c>
      <c r="C30" s="10">
        <v>-17.021828766761441</v>
      </c>
      <c r="D30" s="10">
        <f t="shared" si="4"/>
        <v>-4.2163045433946706</v>
      </c>
      <c r="E30" s="10">
        <v>12.805524223366771</v>
      </c>
      <c r="F30" s="11" t="s">
        <v>13</v>
      </c>
      <c r="G30" s="29" t="s">
        <v>22</v>
      </c>
      <c r="H30" s="11"/>
      <c r="I30" s="10"/>
      <c r="J30" s="12"/>
      <c r="K30" s="13">
        <v>1.4999260000000001</v>
      </c>
      <c r="L30" s="13">
        <v>0.19964699999999999</v>
      </c>
      <c r="M30" s="13">
        <f t="shared" si="5"/>
        <v>0.299455726122</v>
      </c>
      <c r="N30" s="13">
        <v>1.8007169999999999</v>
      </c>
      <c r="O30" s="13">
        <v>1.2999999999999999E-3</v>
      </c>
      <c r="P30" s="13">
        <f t="shared" si="0"/>
        <v>2.3409320999999996E-3</v>
      </c>
      <c r="Q30" s="13">
        <v>0.99804300000000001</v>
      </c>
      <c r="R30" s="13">
        <v>2.8960000000000001E-3</v>
      </c>
      <c r="S30" s="13">
        <f t="shared" si="6"/>
        <v>2.8903325280000003E-3</v>
      </c>
      <c r="T30" s="13">
        <v>1.7998130000000001</v>
      </c>
      <c r="U30" s="13">
        <v>1.455E-2</v>
      </c>
      <c r="V30" s="13">
        <f t="shared" si="1"/>
        <v>2.6187279150000003E-2</v>
      </c>
      <c r="W30" s="13">
        <v>0.99888600000000005</v>
      </c>
      <c r="X30" s="13">
        <v>0.27317000000000002</v>
      </c>
      <c r="Y30" s="13">
        <f t="shared" si="2"/>
        <v>0.27286568862000005</v>
      </c>
      <c r="Z30" s="14">
        <f t="shared" si="3"/>
        <v>0.60373995852000006</v>
      </c>
    </row>
    <row r="31" spans="1:26" x14ac:dyDescent="0.7">
      <c r="A31" s="8">
        <v>28</v>
      </c>
      <c r="B31" s="9">
        <v>19000</v>
      </c>
      <c r="C31" s="10">
        <v>-16.018493766761431</v>
      </c>
      <c r="D31" s="10">
        <f t="shared" si="4"/>
        <v>-4.0666642433946603</v>
      </c>
      <c r="E31" s="10">
        <v>11.95182952336677</v>
      </c>
      <c r="F31" s="11" t="s">
        <v>13</v>
      </c>
      <c r="G31" s="29" t="s">
        <v>22</v>
      </c>
      <c r="H31" s="29"/>
      <c r="I31" s="10"/>
      <c r="J31" s="12"/>
      <c r="K31" s="13">
        <v>1.4999260000000001</v>
      </c>
      <c r="L31" s="13">
        <v>0.20095299999999999</v>
      </c>
      <c r="M31" s="13">
        <f t="shared" si="5"/>
        <v>0.30141462947800002</v>
      </c>
      <c r="N31" s="13">
        <v>1.8007169999999999</v>
      </c>
      <c r="O31" s="13">
        <v>1.2999999999999999E-3</v>
      </c>
      <c r="P31" s="13">
        <f t="shared" si="0"/>
        <v>2.3409320999999996E-3</v>
      </c>
      <c r="Q31" s="13">
        <v>0.99804300000000001</v>
      </c>
      <c r="R31" s="13">
        <v>2.8960000000000001E-3</v>
      </c>
      <c r="S31" s="13">
        <f t="shared" si="6"/>
        <v>2.8903325280000003E-3</v>
      </c>
      <c r="T31" s="13">
        <v>1.7998130000000001</v>
      </c>
      <c r="U31" s="13">
        <v>1.4546E-2</v>
      </c>
      <c r="V31" s="13">
        <f t="shared" si="1"/>
        <v>2.6180079898000003E-2</v>
      </c>
      <c r="W31" s="13">
        <v>0.99888600000000005</v>
      </c>
      <c r="X31" s="13">
        <v>0.27330100000000002</v>
      </c>
      <c r="Y31" s="13">
        <f t="shared" si="2"/>
        <v>0.27299654268600004</v>
      </c>
      <c r="Z31" s="14">
        <f t="shared" si="3"/>
        <v>0.60582251669000009</v>
      </c>
    </row>
    <row r="32" spans="1:26" x14ac:dyDescent="0.7">
      <c r="A32" s="8">
        <v>29</v>
      </c>
      <c r="B32" s="9">
        <v>19000</v>
      </c>
      <c r="C32" s="10">
        <v>-15.020379966761441</v>
      </c>
      <c r="D32" s="10">
        <f t="shared" si="4"/>
        <v>-3.8971657433946714</v>
      </c>
      <c r="E32" s="10">
        <v>11.123214223366769</v>
      </c>
      <c r="F32" s="11" t="s">
        <v>13</v>
      </c>
      <c r="G32" s="29" t="s">
        <v>22</v>
      </c>
      <c r="H32" s="11"/>
      <c r="I32" s="10"/>
      <c r="J32" s="12"/>
      <c r="K32" s="13">
        <v>1.4999260000000001</v>
      </c>
      <c r="L32" s="13">
        <v>0.20225899999999999</v>
      </c>
      <c r="M32" s="13">
        <f t="shared" si="5"/>
        <v>0.30337353283400004</v>
      </c>
      <c r="N32" s="13">
        <v>1.8007169999999999</v>
      </c>
      <c r="O32" s="13">
        <v>1.2999999999999999E-3</v>
      </c>
      <c r="P32" s="13">
        <f t="shared" si="0"/>
        <v>2.3409320999999996E-3</v>
      </c>
      <c r="Q32" s="13">
        <v>0.99804300000000001</v>
      </c>
      <c r="R32" s="13">
        <v>2.8960000000000001E-3</v>
      </c>
      <c r="S32" s="13">
        <f t="shared" si="6"/>
        <v>2.8903325280000003E-3</v>
      </c>
      <c r="T32" s="13">
        <v>1.7998130000000001</v>
      </c>
      <c r="U32" s="13">
        <v>1.4551E-2</v>
      </c>
      <c r="V32" s="13">
        <f t="shared" si="1"/>
        <v>2.6189078963E-2</v>
      </c>
      <c r="W32" s="13">
        <v>0.99888600000000005</v>
      </c>
      <c r="X32" s="13">
        <v>0.27336700000000003</v>
      </c>
      <c r="Y32" s="13">
        <f t="shared" si="2"/>
        <v>0.27306246916200005</v>
      </c>
      <c r="Z32" s="14">
        <f t="shared" si="3"/>
        <v>0.60785634558700008</v>
      </c>
    </row>
    <row r="33" spans="1:26" x14ac:dyDescent="0.7">
      <c r="A33" s="8">
        <v>30</v>
      </c>
      <c r="B33" s="9">
        <v>19000</v>
      </c>
      <c r="C33" s="10">
        <v>-14.021508466761439</v>
      </c>
      <c r="D33" s="10">
        <f t="shared" si="4"/>
        <v>-3.6996664433946691</v>
      </c>
      <c r="E33" s="10">
        <v>10.32184202336677</v>
      </c>
      <c r="F33" s="11" t="s">
        <v>13</v>
      </c>
      <c r="G33" s="29" t="s">
        <v>22</v>
      </c>
      <c r="H33" s="11"/>
      <c r="I33" s="10"/>
      <c r="J33" s="12"/>
      <c r="K33" s="13">
        <v>1.4999260000000001</v>
      </c>
      <c r="L33" s="13">
        <v>0.20307600000000001</v>
      </c>
      <c r="M33" s="13">
        <f t="shared" si="5"/>
        <v>0.30459897237600003</v>
      </c>
      <c r="N33" s="13">
        <v>1.8007169999999999</v>
      </c>
      <c r="O33" s="13">
        <v>1.2999999999999999E-3</v>
      </c>
      <c r="P33" s="13">
        <f t="shared" si="0"/>
        <v>2.3409320999999996E-3</v>
      </c>
      <c r="Q33" s="13">
        <v>0.99804300000000001</v>
      </c>
      <c r="R33" s="13">
        <v>2.8969999999999998E-3</v>
      </c>
      <c r="S33" s="13">
        <f t="shared" si="6"/>
        <v>2.891330571E-3</v>
      </c>
      <c r="T33" s="13">
        <v>1.7998130000000001</v>
      </c>
      <c r="U33" s="13">
        <v>1.4558E-2</v>
      </c>
      <c r="V33" s="13">
        <f t="shared" si="1"/>
        <v>2.6201677654E-2</v>
      </c>
      <c r="W33" s="13">
        <v>0.99888600000000005</v>
      </c>
      <c r="X33" s="13">
        <v>0.27330100000000002</v>
      </c>
      <c r="Y33" s="13">
        <f t="shared" si="2"/>
        <v>0.27299654268600004</v>
      </c>
      <c r="Z33" s="14">
        <f t="shared" si="3"/>
        <v>0.60902945538700015</v>
      </c>
    </row>
    <row r="34" spans="1:26" x14ac:dyDescent="0.7">
      <c r="A34" s="8">
        <v>31</v>
      </c>
      <c r="B34" s="9">
        <v>19000</v>
      </c>
      <c r="C34" s="10">
        <v>-13.020039966761439</v>
      </c>
      <c r="D34" s="10">
        <f t="shared" si="4"/>
        <v>-3.4802809433946731</v>
      </c>
      <c r="E34" s="10">
        <v>9.5397590233667664</v>
      </c>
      <c r="F34" s="11" t="s">
        <v>13</v>
      </c>
      <c r="G34" s="29" t="s">
        <v>22</v>
      </c>
      <c r="H34" s="11"/>
      <c r="I34" s="10"/>
      <c r="J34" s="12"/>
      <c r="K34" s="13">
        <v>1.4999260000000001</v>
      </c>
      <c r="L34" s="13">
        <v>0.20421900000000001</v>
      </c>
      <c r="M34" s="13">
        <f t="shared" si="5"/>
        <v>0.30631338779400002</v>
      </c>
      <c r="N34" s="13">
        <v>1.8007169999999999</v>
      </c>
      <c r="O34" s="13">
        <v>1.2999999999999999E-3</v>
      </c>
      <c r="P34" s="13">
        <f t="shared" si="0"/>
        <v>2.3409320999999996E-3</v>
      </c>
      <c r="Q34" s="13">
        <v>0.99804300000000001</v>
      </c>
      <c r="R34" s="13">
        <v>2.8969999999999998E-3</v>
      </c>
      <c r="S34" s="13">
        <f t="shared" si="6"/>
        <v>2.891330571E-3</v>
      </c>
      <c r="T34" s="13">
        <v>1.7998130000000001</v>
      </c>
      <c r="U34" s="13">
        <v>1.4558E-2</v>
      </c>
      <c r="V34" s="13">
        <f t="shared" si="1"/>
        <v>2.6201677654E-2</v>
      </c>
      <c r="W34" s="13">
        <v>0.99888600000000005</v>
      </c>
      <c r="X34" s="13">
        <v>0.27343299999999998</v>
      </c>
      <c r="Y34" s="13">
        <f t="shared" si="2"/>
        <v>0.27312839563800001</v>
      </c>
      <c r="Z34" s="14">
        <f t="shared" si="3"/>
        <v>0.61087572375700006</v>
      </c>
    </row>
    <row r="35" spans="1:26" x14ac:dyDescent="0.7">
      <c r="A35" s="8">
        <v>32</v>
      </c>
      <c r="B35" s="9">
        <v>19000</v>
      </c>
      <c r="C35" s="10">
        <v>-12.01370876676144</v>
      </c>
      <c r="D35" s="10">
        <f>C35+E35</f>
        <v>-3.2436326433946743</v>
      </c>
      <c r="E35" s="10">
        <v>8.7700761233667652</v>
      </c>
      <c r="F35" s="11" t="s">
        <v>13</v>
      </c>
      <c r="G35" s="29" t="s">
        <v>22</v>
      </c>
      <c r="H35" s="11"/>
      <c r="I35" s="10"/>
      <c r="J35" s="12"/>
      <c r="K35" s="13">
        <v>1.4999260000000001</v>
      </c>
      <c r="L35" s="13">
        <v>0.205035</v>
      </c>
      <c r="M35" s="13">
        <f t="shared" si="5"/>
        <v>0.30753732741000001</v>
      </c>
      <c r="N35" s="13">
        <v>1.8007169999999999</v>
      </c>
      <c r="O35" s="13">
        <v>1.3010000000000001E-3</v>
      </c>
      <c r="P35" s="13">
        <f t="shared" si="0"/>
        <v>2.3427328169999999E-3</v>
      </c>
      <c r="Q35" s="13">
        <v>0.99804300000000001</v>
      </c>
      <c r="R35" s="13">
        <v>2.898E-3</v>
      </c>
      <c r="S35" s="13">
        <f t="shared" si="6"/>
        <v>2.8923286140000001E-3</v>
      </c>
      <c r="T35" s="13">
        <v>1.7998130000000001</v>
      </c>
      <c r="U35" s="13">
        <v>1.4565E-2</v>
      </c>
      <c r="V35" s="13">
        <f t="shared" si="1"/>
        <v>2.6214276345000002E-2</v>
      </c>
      <c r="W35" s="13">
        <v>0.99888600000000005</v>
      </c>
      <c r="X35" s="13">
        <v>0.27356399999999997</v>
      </c>
      <c r="Y35" s="13">
        <f t="shared" si="2"/>
        <v>0.27325924970400001</v>
      </c>
      <c r="Z35" s="14">
        <f t="shared" si="3"/>
        <v>0.61224591489000002</v>
      </c>
    </row>
    <row r="36" spans="1:26" s="28" customFormat="1" x14ac:dyDescent="0.7">
      <c r="A36" s="21"/>
      <c r="B36" s="22"/>
      <c r="C36" s="23"/>
      <c r="D36" s="23"/>
      <c r="E36" s="23"/>
      <c r="F36" s="24"/>
      <c r="G36" s="30"/>
      <c r="H36" s="24"/>
      <c r="I36" s="23"/>
      <c r="J36" s="25"/>
      <c r="K36" s="26"/>
      <c r="L36" s="26"/>
      <c r="M36" s="26"/>
      <c r="N36" s="26"/>
      <c r="O36" s="26"/>
      <c r="P36" s="26"/>
      <c r="Q36" s="26"/>
      <c r="R36" s="26"/>
      <c r="S36" s="26"/>
      <c r="T36" s="26"/>
      <c r="U36" s="26"/>
      <c r="V36" s="26"/>
      <c r="W36" s="26"/>
      <c r="X36" s="26"/>
      <c r="Y36" s="26"/>
      <c r="Z36" s="27"/>
    </row>
    <row r="37" spans="1:26" x14ac:dyDescent="0.7">
      <c r="A37" s="8">
        <v>0</v>
      </c>
      <c r="B37" s="9">
        <v>19000</v>
      </c>
      <c r="C37" s="15">
        <v>-54.020450186761437</v>
      </c>
      <c r="D37" s="10">
        <f>C37+E37</f>
        <v>-24.859436843394676</v>
      </c>
      <c r="E37" s="10">
        <v>29.161013343366761</v>
      </c>
      <c r="F37" s="12" t="s">
        <v>18</v>
      </c>
      <c r="G37" s="29" t="s">
        <v>22</v>
      </c>
      <c r="H37" s="12"/>
      <c r="I37" s="10"/>
      <c r="J37" s="12"/>
      <c r="K37" s="14">
        <v>1.4999260000000001</v>
      </c>
      <c r="L37" s="14">
        <v>0.182176</v>
      </c>
      <c r="M37" s="13">
        <f t="shared" si="5"/>
        <v>0.273250518976</v>
      </c>
      <c r="N37" s="14">
        <v>1.8007169999999999</v>
      </c>
      <c r="O37" s="14">
        <v>1.196E-3</v>
      </c>
      <c r="P37" s="13">
        <f t="shared" si="0"/>
        <v>2.1536575319999998E-3</v>
      </c>
      <c r="Q37" s="14">
        <v>0.99804300000000001</v>
      </c>
      <c r="R37" s="14">
        <v>2.8479999999999998E-3</v>
      </c>
      <c r="S37" s="13">
        <f t="shared" si="6"/>
        <v>2.8424264639999998E-3</v>
      </c>
      <c r="T37" s="14">
        <v>1.8000130000000001</v>
      </c>
      <c r="U37" s="14">
        <v>1.4277E-2</v>
      </c>
      <c r="V37" s="13">
        <f t="shared" si="1"/>
        <v>2.5698785601000002E-2</v>
      </c>
      <c r="W37" s="14">
        <v>0.99805100000000002</v>
      </c>
      <c r="X37" s="14">
        <v>0.26955699999999999</v>
      </c>
      <c r="Y37" s="13">
        <f t="shared" si="2"/>
        <v>0.26903163340699998</v>
      </c>
      <c r="Z37" s="14">
        <f t="shared" si="3"/>
        <v>0.57297702198</v>
      </c>
    </row>
    <row r="38" spans="1:26" x14ac:dyDescent="0.7">
      <c r="A38" s="8">
        <v>1</v>
      </c>
      <c r="B38" s="9">
        <v>19000</v>
      </c>
      <c r="C38" s="15">
        <v>-52.020450186761437</v>
      </c>
      <c r="D38" s="10">
        <f t="shared" ref="D38:D69" si="7">C38+E38</f>
        <v>-22.385901643394678</v>
      </c>
      <c r="E38" s="10">
        <v>29.634548543366758</v>
      </c>
      <c r="F38" s="12" t="s">
        <v>18</v>
      </c>
      <c r="G38" s="29" t="s">
        <v>22</v>
      </c>
      <c r="H38" s="12"/>
      <c r="I38" s="10"/>
      <c r="J38" s="12"/>
      <c r="K38" s="14">
        <v>1.4999260000000001</v>
      </c>
      <c r="L38" s="14">
        <v>0.183809</v>
      </c>
      <c r="M38" s="13">
        <f t="shared" si="5"/>
        <v>0.27569989813400003</v>
      </c>
      <c r="N38" s="14">
        <v>1.8007169999999999</v>
      </c>
      <c r="O38" s="14">
        <v>1.3010000000000001E-3</v>
      </c>
      <c r="P38" s="13">
        <f t="shared" si="0"/>
        <v>2.3427328169999999E-3</v>
      </c>
      <c r="Q38" s="14">
        <v>0.99804300000000001</v>
      </c>
      <c r="R38" s="14">
        <v>2.8679999999999999E-3</v>
      </c>
      <c r="S38" s="13">
        <f t="shared" si="6"/>
        <v>2.8623873240000001E-3</v>
      </c>
      <c r="T38" s="14">
        <v>1.7998130000000001</v>
      </c>
      <c r="U38" s="14">
        <v>1.4393E-2</v>
      </c>
      <c r="V38" s="13">
        <f t="shared" si="1"/>
        <v>2.5904708509E-2</v>
      </c>
      <c r="W38" s="14">
        <v>0.99805100000000002</v>
      </c>
      <c r="X38" s="14">
        <v>0.27041100000000001</v>
      </c>
      <c r="Y38" s="13">
        <f t="shared" si="2"/>
        <v>0.26988396896100003</v>
      </c>
      <c r="Z38" s="14">
        <f t="shared" si="3"/>
        <v>0.57669369574500007</v>
      </c>
    </row>
    <row r="39" spans="1:26" x14ac:dyDescent="0.7">
      <c r="A39" s="8">
        <v>2</v>
      </c>
      <c r="B39" s="9">
        <v>19000</v>
      </c>
      <c r="C39" s="15">
        <v>-50.020450186761437</v>
      </c>
      <c r="D39" s="10">
        <f t="shared" si="7"/>
        <v>-20.193088543394666</v>
      </c>
      <c r="E39" s="10">
        <v>29.827361643366771</v>
      </c>
      <c r="F39" s="12" t="s">
        <v>15</v>
      </c>
      <c r="G39" s="29" t="s">
        <v>22</v>
      </c>
      <c r="H39" s="12"/>
      <c r="I39" s="10"/>
      <c r="J39" s="12"/>
      <c r="K39" s="14">
        <v>1.4999260000000001</v>
      </c>
      <c r="L39" s="14">
        <v>0.18413499999999999</v>
      </c>
      <c r="M39" s="13">
        <f t="shared" si="5"/>
        <v>0.27618887401000003</v>
      </c>
      <c r="N39" s="14">
        <v>1.8007169999999999</v>
      </c>
      <c r="O39" s="14">
        <v>1.2999999999999999E-3</v>
      </c>
      <c r="P39" s="13">
        <f t="shared" si="0"/>
        <v>2.3409320999999996E-3</v>
      </c>
      <c r="Q39" s="14">
        <v>0.99804300000000001</v>
      </c>
      <c r="R39" s="14">
        <v>2.8700000000000002E-3</v>
      </c>
      <c r="S39" s="13">
        <f t="shared" si="6"/>
        <v>2.8643834100000004E-3</v>
      </c>
      <c r="T39" s="14">
        <v>1.7998130000000001</v>
      </c>
      <c r="U39" s="14">
        <v>1.4402E-2</v>
      </c>
      <c r="V39" s="13">
        <f t="shared" si="1"/>
        <v>2.5920906826000002E-2</v>
      </c>
      <c r="W39" s="14">
        <v>0.99888600000000005</v>
      </c>
      <c r="X39" s="14">
        <v>0.270542</v>
      </c>
      <c r="Y39" s="13">
        <f t="shared" si="2"/>
        <v>0.27024061621200002</v>
      </c>
      <c r="Z39" s="14">
        <f t="shared" si="3"/>
        <v>0.57755571255800009</v>
      </c>
    </row>
    <row r="40" spans="1:26" x14ac:dyDescent="0.7">
      <c r="A40" s="8">
        <v>3</v>
      </c>
      <c r="B40" s="9">
        <v>19000</v>
      </c>
      <c r="C40" s="15">
        <v>-48.020450186761437</v>
      </c>
      <c r="D40" s="10">
        <f t="shared" si="7"/>
        <v>-17.985886743394666</v>
      </c>
      <c r="E40" s="10">
        <v>30.034563443366771</v>
      </c>
      <c r="F40" s="12" t="s">
        <v>15</v>
      </c>
      <c r="G40" s="29" t="s">
        <v>22</v>
      </c>
      <c r="H40" s="12"/>
      <c r="I40" s="10"/>
      <c r="J40" s="12"/>
      <c r="K40" s="14">
        <v>1.4999260000000001</v>
      </c>
      <c r="L40" s="14">
        <v>0.18413499999999999</v>
      </c>
      <c r="M40" s="13">
        <f t="shared" si="5"/>
        <v>0.27618887401000003</v>
      </c>
      <c r="N40" s="14">
        <v>1.8007169999999999</v>
      </c>
      <c r="O40" s="14">
        <v>1.2999999999999999E-3</v>
      </c>
      <c r="P40" s="13">
        <f t="shared" si="0"/>
        <v>2.3409320999999996E-3</v>
      </c>
      <c r="Q40" s="14">
        <v>0.99804300000000001</v>
      </c>
      <c r="R40" s="14">
        <v>2.8709999999999999E-3</v>
      </c>
      <c r="S40" s="13">
        <f t="shared" si="6"/>
        <v>2.8653814530000001E-3</v>
      </c>
      <c r="T40" s="14">
        <v>1.7998130000000001</v>
      </c>
      <c r="U40" s="14">
        <v>1.44E-2</v>
      </c>
      <c r="V40" s="13">
        <f t="shared" si="1"/>
        <v>2.59173072E-2</v>
      </c>
      <c r="W40" s="14">
        <v>0.99888600000000005</v>
      </c>
      <c r="X40" s="14">
        <v>0.27060800000000002</v>
      </c>
      <c r="Y40" s="13">
        <f t="shared" si="2"/>
        <v>0.27030654268800003</v>
      </c>
      <c r="Z40" s="14">
        <f t="shared" si="3"/>
        <v>0.57761903745100018</v>
      </c>
    </row>
    <row r="41" spans="1:26" x14ac:dyDescent="0.7">
      <c r="A41" s="8">
        <v>4</v>
      </c>
      <c r="B41" s="9">
        <v>19000</v>
      </c>
      <c r="C41" s="15">
        <v>-46.020450186761437</v>
      </c>
      <c r="D41" s="10">
        <f t="shared" si="7"/>
        <v>-15.951818943394667</v>
      </c>
      <c r="E41" s="10">
        <v>30.06863124336677</v>
      </c>
      <c r="F41" s="12" t="s">
        <v>15</v>
      </c>
      <c r="G41" s="29" t="s">
        <v>22</v>
      </c>
      <c r="H41" s="12"/>
      <c r="I41" s="10"/>
      <c r="J41" s="12"/>
      <c r="K41" s="14">
        <v>1.4999260000000001</v>
      </c>
      <c r="L41" s="14">
        <v>0.18413499999999999</v>
      </c>
      <c r="M41" s="13">
        <f t="shared" si="5"/>
        <v>0.27618887401000003</v>
      </c>
      <c r="N41" s="14">
        <v>1.8007169999999999</v>
      </c>
      <c r="O41" s="14">
        <v>1.299E-3</v>
      </c>
      <c r="P41" s="13">
        <f t="shared" si="0"/>
        <v>2.3391313829999997E-3</v>
      </c>
      <c r="Q41" s="14">
        <v>0.99804300000000001</v>
      </c>
      <c r="R41" s="14">
        <v>2.8709999999999999E-3</v>
      </c>
      <c r="S41" s="13">
        <f t="shared" si="6"/>
        <v>2.8653814530000001E-3</v>
      </c>
      <c r="T41" s="14">
        <v>1.7998130000000001</v>
      </c>
      <c r="U41" s="14">
        <v>1.4397999999999999E-2</v>
      </c>
      <c r="V41" s="13">
        <f t="shared" si="1"/>
        <v>2.5913707574000001E-2</v>
      </c>
      <c r="W41" s="14">
        <v>0.99805100000000002</v>
      </c>
      <c r="X41" s="14">
        <v>0.270673</v>
      </c>
      <c r="Y41" s="13">
        <f t="shared" si="2"/>
        <v>0.27014545832300002</v>
      </c>
      <c r="Z41" s="14">
        <f t="shared" si="3"/>
        <v>0.57745255274300011</v>
      </c>
    </row>
    <row r="42" spans="1:26" x14ac:dyDescent="0.7">
      <c r="A42" s="8">
        <v>5</v>
      </c>
      <c r="B42" s="9">
        <v>19000</v>
      </c>
      <c r="C42" s="15">
        <v>-44.020450186761437</v>
      </c>
      <c r="D42" s="10">
        <f t="shared" si="7"/>
        <v>-13.874395143394668</v>
      </c>
      <c r="E42" s="10">
        <v>30.146055043366768</v>
      </c>
      <c r="F42" s="12" t="s">
        <v>15</v>
      </c>
      <c r="G42" s="29" t="s">
        <v>22</v>
      </c>
      <c r="H42" s="12"/>
      <c r="I42" s="10"/>
      <c r="J42" s="12"/>
      <c r="K42" s="14">
        <v>1.4999260000000001</v>
      </c>
      <c r="L42" s="14">
        <v>0.18413499999999999</v>
      </c>
      <c r="M42" s="13">
        <f t="shared" si="5"/>
        <v>0.27618887401000003</v>
      </c>
      <c r="N42" s="14">
        <v>1.8007169999999999</v>
      </c>
      <c r="O42" s="14">
        <v>1.299E-3</v>
      </c>
      <c r="P42" s="13">
        <f t="shared" si="0"/>
        <v>2.3391313829999997E-3</v>
      </c>
      <c r="Q42" s="14">
        <v>0.99804300000000001</v>
      </c>
      <c r="R42" s="14">
        <v>2.8709999999999999E-3</v>
      </c>
      <c r="S42" s="13">
        <f t="shared" si="6"/>
        <v>2.8653814530000001E-3</v>
      </c>
      <c r="T42" s="14">
        <v>1.7998130000000001</v>
      </c>
      <c r="U42" s="14">
        <v>1.4402E-2</v>
      </c>
      <c r="V42" s="13">
        <f t="shared" si="1"/>
        <v>2.5920906826000002E-2</v>
      </c>
      <c r="W42" s="14">
        <v>0.99805100000000002</v>
      </c>
      <c r="X42" s="14">
        <v>0.270673</v>
      </c>
      <c r="Y42" s="13">
        <f t="shared" si="2"/>
        <v>0.27014545832300002</v>
      </c>
      <c r="Z42" s="14">
        <f t="shared" si="3"/>
        <v>0.5774597519950001</v>
      </c>
    </row>
    <row r="43" spans="1:26" x14ac:dyDescent="0.7">
      <c r="A43" s="8">
        <v>6</v>
      </c>
      <c r="B43" s="9">
        <v>19000</v>
      </c>
      <c r="C43" s="15">
        <v>-42.020450186761437</v>
      </c>
      <c r="D43" s="10">
        <f t="shared" si="7"/>
        <v>-11.965973443394667</v>
      </c>
      <c r="E43" s="10">
        <v>30.05447674336677</v>
      </c>
      <c r="F43" s="12" t="s">
        <v>15</v>
      </c>
      <c r="G43" s="29" t="s">
        <v>22</v>
      </c>
      <c r="H43" s="12"/>
      <c r="I43" s="10"/>
      <c r="J43" s="12"/>
      <c r="K43" s="14">
        <v>1.4999260000000001</v>
      </c>
      <c r="L43" s="14">
        <v>0.18462500000000001</v>
      </c>
      <c r="M43" s="13">
        <f t="shared" si="5"/>
        <v>0.27692383775000001</v>
      </c>
      <c r="N43" s="14">
        <v>1.8007169999999999</v>
      </c>
      <c r="O43" s="14">
        <v>1.299E-3</v>
      </c>
      <c r="P43" s="13">
        <f t="shared" si="0"/>
        <v>2.3391313829999997E-3</v>
      </c>
      <c r="Q43" s="14">
        <v>0.99804300000000001</v>
      </c>
      <c r="R43" s="14">
        <v>2.872E-3</v>
      </c>
      <c r="S43" s="13">
        <f t="shared" si="6"/>
        <v>2.8663794959999998E-3</v>
      </c>
      <c r="T43" s="14">
        <v>1.7998130000000001</v>
      </c>
      <c r="U43" s="14">
        <v>1.4402E-2</v>
      </c>
      <c r="V43" s="13">
        <f t="shared" si="1"/>
        <v>2.5920906826000002E-2</v>
      </c>
      <c r="W43" s="14">
        <v>0.99888600000000005</v>
      </c>
      <c r="X43" s="14">
        <v>0.270542</v>
      </c>
      <c r="Y43" s="13">
        <f t="shared" si="2"/>
        <v>0.27024061621200002</v>
      </c>
      <c r="Z43" s="14">
        <f t="shared" si="3"/>
        <v>0.57829087166700011</v>
      </c>
    </row>
    <row r="44" spans="1:26" x14ac:dyDescent="0.7">
      <c r="A44" s="32">
        <v>7</v>
      </c>
      <c r="B44" s="33">
        <v>19000</v>
      </c>
      <c r="C44" s="40">
        <v>-40.020450186761437</v>
      </c>
      <c r="D44" s="34">
        <f t="shared" si="7"/>
        <v>-10.109089643394668</v>
      </c>
      <c r="E44" s="34">
        <v>29.911360543366769</v>
      </c>
      <c r="F44" s="37" t="s">
        <v>15</v>
      </c>
      <c r="G44" s="36" t="s">
        <v>22</v>
      </c>
      <c r="H44" s="41" t="s">
        <v>38</v>
      </c>
      <c r="I44" s="34"/>
      <c r="J44" s="37"/>
      <c r="K44" s="39">
        <v>1.4999260000000001</v>
      </c>
      <c r="L44" s="39">
        <v>0.18478900000000001</v>
      </c>
      <c r="M44" s="38">
        <f t="shared" si="5"/>
        <v>0.27716982561400005</v>
      </c>
      <c r="N44" s="39">
        <v>1.8007169999999999</v>
      </c>
      <c r="O44" s="39">
        <v>1.2999999999999999E-3</v>
      </c>
      <c r="P44" s="38">
        <f t="shared" si="0"/>
        <v>2.3409320999999996E-3</v>
      </c>
      <c r="Q44" s="39">
        <v>0.99804300000000001</v>
      </c>
      <c r="R44" s="39">
        <v>2.872E-3</v>
      </c>
      <c r="S44" s="38">
        <f t="shared" si="6"/>
        <v>2.8663794959999998E-3</v>
      </c>
      <c r="T44" s="39">
        <v>1.7998130000000001</v>
      </c>
      <c r="U44" s="39">
        <v>1.4404999999999999E-2</v>
      </c>
      <c r="V44" s="38">
        <f t="shared" si="1"/>
        <v>2.5926306265000001E-2</v>
      </c>
      <c r="W44" s="39">
        <v>0.99888600000000005</v>
      </c>
      <c r="X44" s="39">
        <v>0.27060800000000002</v>
      </c>
      <c r="Y44" s="38">
        <f t="shared" si="2"/>
        <v>0.27030654268800003</v>
      </c>
      <c r="Z44" s="39">
        <f t="shared" si="3"/>
        <v>0.57860998616300008</v>
      </c>
    </row>
    <row r="45" spans="1:26" x14ac:dyDescent="0.7">
      <c r="A45" s="8">
        <v>8</v>
      </c>
      <c r="B45" s="9">
        <v>19000</v>
      </c>
      <c r="C45" s="15">
        <v>-38.020450186761437</v>
      </c>
      <c r="D45" s="10">
        <f t="shared" si="7"/>
        <v>-8.3743516433946681</v>
      </c>
      <c r="E45" s="10">
        <v>29.646098543366769</v>
      </c>
      <c r="F45" s="12" t="s">
        <v>15</v>
      </c>
      <c r="G45" s="29" t="s">
        <v>22</v>
      </c>
      <c r="H45" s="12"/>
      <c r="I45" s="10"/>
      <c r="J45" s="12"/>
      <c r="K45" s="14">
        <v>1.4999260000000001</v>
      </c>
      <c r="L45" s="14">
        <v>0.18495200000000001</v>
      </c>
      <c r="M45" s="13">
        <f t="shared" si="5"/>
        <v>0.27741431355200002</v>
      </c>
      <c r="N45" s="14">
        <v>1.8007169999999999</v>
      </c>
      <c r="O45" s="14">
        <v>1.2979999999999999E-3</v>
      </c>
      <c r="P45" s="13">
        <f t="shared" si="0"/>
        <v>2.3373306659999998E-3</v>
      </c>
      <c r="Q45" s="14">
        <v>0.99804300000000001</v>
      </c>
      <c r="R45" s="14">
        <v>2.8730000000000001E-3</v>
      </c>
      <c r="S45" s="13">
        <f t="shared" si="6"/>
        <v>2.867377539E-3</v>
      </c>
      <c r="T45" s="14">
        <v>1.7998130000000001</v>
      </c>
      <c r="U45" s="14">
        <v>1.4416E-2</v>
      </c>
      <c r="V45" s="13">
        <f t="shared" si="1"/>
        <v>2.5946104208E-2</v>
      </c>
      <c r="W45" s="14">
        <v>0.99888600000000005</v>
      </c>
      <c r="X45" s="14">
        <v>0.27073900000000001</v>
      </c>
      <c r="Y45" s="13">
        <f t="shared" si="2"/>
        <v>0.27043739675400003</v>
      </c>
      <c r="Z45" s="14">
        <f t="shared" si="3"/>
        <v>0.5790025227190001</v>
      </c>
    </row>
    <row r="46" spans="1:26" x14ac:dyDescent="0.7">
      <c r="A46" s="8">
        <v>9</v>
      </c>
      <c r="B46" s="9">
        <v>19000</v>
      </c>
      <c r="C46" s="15">
        <v>-36.020450186761437</v>
      </c>
      <c r="D46" s="10">
        <f t="shared" si="7"/>
        <v>-6.806122143394667</v>
      </c>
      <c r="E46" s="10">
        <v>29.21432804336677</v>
      </c>
      <c r="F46" s="12" t="s">
        <v>15</v>
      </c>
      <c r="G46" s="29" t="s">
        <v>22</v>
      </c>
      <c r="H46" s="12"/>
      <c r="I46" s="10"/>
      <c r="J46" s="12"/>
      <c r="K46" s="14">
        <v>1.4999260000000001</v>
      </c>
      <c r="L46" s="14">
        <v>0.185442</v>
      </c>
      <c r="M46" s="13">
        <f t="shared" si="5"/>
        <v>0.27814927729200001</v>
      </c>
      <c r="N46" s="14">
        <v>1.8007169999999999</v>
      </c>
      <c r="O46" s="14">
        <v>1.299E-3</v>
      </c>
      <c r="P46" s="13">
        <f t="shared" si="0"/>
        <v>2.3391313829999997E-3</v>
      </c>
      <c r="Q46" s="14">
        <v>0.99804300000000001</v>
      </c>
      <c r="R46" s="14">
        <v>2.8730000000000001E-3</v>
      </c>
      <c r="S46" s="13">
        <f t="shared" si="6"/>
        <v>2.867377539E-3</v>
      </c>
      <c r="T46" s="14">
        <v>1.7998130000000001</v>
      </c>
      <c r="U46" s="14">
        <v>1.4411E-2</v>
      </c>
      <c r="V46" s="13">
        <f t="shared" si="1"/>
        <v>2.5937105143000003E-2</v>
      </c>
      <c r="W46" s="14">
        <v>0.99888600000000005</v>
      </c>
      <c r="X46" s="14">
        <v>0.27080500000000002</v>
      </c>
      <c r="Y46" s="13">
        <f t="shared" si="2"/>
        <v>0.27050332323000004</v>
      </c>
      <c r="Z46" s="14">
        <f t="shared" si="3"/>
        <v>0.57979621458700015</v>
      </c>
    </row>
    <row r="47" spans="1:26" x14ac:dyDescent="0.7">
      <c r="A47" s="8">
        <v>10</v>
      </c>
      <c r="B47" s="9">
        <v>19000</v>
      </c>
      <c r="C47" s="15">
        <v>-34.020450186761437</v>
      </c>
      <c r="D47" s="10">
        <f t="shared" si="7"/>
        <v>-5.5370966433946656</v>
      </c>
      <c r="E47" s="10">
        <v>28.483353543366771</v>
      </c>
      <c r="F47" s="12" t="s">
        <v>15</v>
      </c>
      <c r="G47" s="29" t="s">
        <v>22</v>
      </c>
      <c r="H47" s="12"/>
      <c r="I47" s="10"/>
      <c r="J47" s="12"/>
      <c r="K47" s="14">
        <v>1.4999260000000001</v>
      </c>
      <c r="L47" s="14">
        <v>0.18593199999999999</v>
      </c>
      <c r="M47" s="13">
        <f t="shared" si="5"/>
        <v>0.27888424103199999</v>
      </c>
      <c r="N47" s="14">
        <v>1.8007169999999999</v>
      </c>
      <c r="O47" s="14">
        <v>1.299E-3</v>
      </c>
      <c r="P47" s="13">
        <f t="shared" si="0"/>
        <v>2.3391313829999997E-3</v>
      </c>
      <c r="Q47" s="14">
        <v>0.99804300000000001</v>
      </c>
      <c r="R47" s="14">
        <v>2.8739999999999998E-3</v>
      </c>
      <c r="S47" s="13">
        <f t="shared" si="6"/>
        <v>2.8683755819999997E-3</v>
      </c>
      <c r="T47" s="14">
        <v>1.7998130000000001</v>
      </c>
      <c r="U47" s="14">
        <v>1.4411E-2</v>
      </c>
      <c r="V47" s="13">
        <f t="shared" si="1"/>
        <v>2.5937105143000003E-2</v>
      </c>
      <c r="W47" s="14">
        <v>0.99888600000000005</v>
      </c>
      <c r="X47" s="14">
        <v>0.27087099999999997</v>
      </c>
      <c r="Y47" s="13">
        <f t="shared" si="2"/>
        <v>0.27056924970599999</v>
      </c>
      <c r="Z47" s="14">
        <f t="shared" si="3"/>
        <v>0.580598102846</v>
      </c>
    </row>
    <row r="48" spans="1:26" x14ac:dyDescent="0.7">
      <c r="A48" s="8">
        <v>11</v>
      </c>
      <c r="B48" s="9">
        <v>19000</v>
      </c>
      <c r="C48" s="15">
        <v>-33.020450186761437</v>
      </c>
      <c r="D48" s="10">
        <f t="shared" si="7"/>
        <v>-5.0516841433946666</v>
      </c>
      <c r="E48" s="10">
        <v>27.96876604336677</v>
      </c>
      <c r="F48" s="12" t="s">
        <v>15</v>
      </c>
      <c r="G48" s="29" t="s">
        <v>22</v>
      </c>
      <c r="H48" s="12"/>
      <c r="I48" s="10"/>
      <c r="J48" s="12"/>
      <c r="K48" s="14">
        <v>1.4999260000000001</v>
      </c>
      <c r="L48" s="14">
        <v>0.18625800000000001</v>
      </c>
      <c r="M48" s="13">
        <f t="shared" si="5"/>
        <v>0.27937321690800004</v>
      </c>
      <c r="N48" s="14">
        <v>1.8007169999999999</v>
      </c>
      <c r="O48" s="14">
        <v>1.299E-3</v>
      </c>
      <c r="P48" s="13">
        <f t="shared" si="0"/>
        <v>2.3391313829999997E-3</v>
      </c>
      <c r="Q48" s="14">
        <v>0.99804300000000001</v>
      </c>
      <c r="R48" s="14">
        <v>2.8730000000000001E-3</v>
      </c>
      <c r="S48" s="13">
        <f t="shared" si="6"/>
        <v>2.867377539E-3</v>
      </c>
      <c r="T48" s="14">
        <v>1.7998130000000001</v>
      </c>
      <c r="U48" s="14">
        <v>1.4423E-2</v>
      </c>
      <c r="V48" s="13">
        <f t="shared" si="1"/>
        <v>2.5958702899000003E-2</v>
      </c>
      <c r="W48" s="14">
        <v>0.99888600000000005</v>
      </c>
      <c r="X48" s="14">
        <v>0.27087099999999997</v>
      </c>
      <c r="Y48" s="13">
        <f t="shared" si="2"/>
        <v>0.27056924970599999</v>
      </c>
      <c r="Z48" s="14">
        <f t="shared" si="3"/>
        <v>0.581107678435</v>
      </c>
    </row>
    <row r="49" spans="1:26" x14ac:dyDescent="0.7">
      <c r="A49" s="8">
        <v>12</v>
      </c>
      <c r="B49" s="9">
        <v>19000</v>
      </c>
      <c r="C49" s="15">
        <v>-32.020450186761437</v>
      </c>
      <c r="D49" s="10">
        <f t="shared" si="7"/>
        <v>-4.6703396433946658</v>
      </c>
      <c r="E49" s="10">
        <v>27.350110543366771</v>
      </c>
      <c r="F49" s="12" t="s">
        <v>15</v>
      </c>
      <c r="G49" s="29" t="s">
        <v>22</v>
      </c>
      <c r="H49" s="12"/>
      <c r="I49" s="10"/>
      <c r="J49" s="12"/>
      <c r="K49" s="14">
        <v>1.4999260000000001</v>
      </c>
      <c r="L49" s="14">
        <v>0.186748</v>
      </c>
      <c r="M49" s="13">
        <f t="shared" si="5"/>
        <v>0.28010818064800003</v>
      </c>
      <c r="N49" s="14">
        <v>1.8007169999999999</v>
      </c>
      <c r="O49" s="14">
        <v>1.2979999999999999E-3</v>
      </c>
      <c r="P49" s="13">
        <f t="shared" si="0"/>
        <v>2.3373306659999998E-3</v>
      </c>
      <c r="Q49" s="14">
        <v>0.99804300000000001</v>
      </c>
      <c r="R49" s="14">
        <v>2.8739999999999998E-3</v>
      </c>
      <c r="S49" s="13">
        <f t="shared" si="6"/>
        <v>2.8683755819999997E-3</v>
      </c>
      <c r="T49" s="14">
        <v>1.7998130000000001</v>
      </c>
      <c r="U49" s="14">
        <v>1.4418E-2</v>
      </c>
      <c r="V49" s="13">
        <f t="shared" si="1"/>
        <v>2.5949703834000002E-2</v>
      </c>
      <c r="W49" s="14">
        <v>0.99888600000000005</v>
      </c>
      <c r="X49" s="14">
        <v>0.27080500000000002</v>
      </c>
      <c r="Y49" s="13">
        <f t="shared" si="2"/>
        <v>0.27050332323000004</v>
      </c>
      <c r="Z49" s="14">
        <f t="shared" si="3"/>
        <v>0.58176691396000013</v>
      </c>
    </row>
    <row r="50" spans="1:26" x14ac:dyDescent="0.7">
      <c r="A50" s="8">
        <v>13</v>
      </c>
      <c r="B50" s="9">
        <v>19000</v>
      </c>
      <c r="C50" s="15">
        <v>-31.02045018676144</v>
      </c>
      <c r="D50" s="10">
        <f t="shared" si="7"/>
        <v>-4.3967016433946711</v>
      </c>
      <c r="E50" s="10">
        <v>26.623748543366769</v>
      </c>
      <c r="F50" s="12" t="s">
        <v>15</v>
      </c>
      <c r="G50" s="29" t="s">
        <v>22</v>
      </c>
      <c r="H50" s="12"/>
      <c r="I50" s="10"/>
      <c r="J50" s="12"/>
      <c r="K50" s="14">
        <v>1.4999260000000001</v>
      </c>
      <c r="L50" s="14">
        <v>0.18707399999999999</v>
      </c>
      <c r="M50" s="13">
        <f t="shared" si="5"/>
        <v>0.28059715652400002</v>
      </c>
      <c r="N50" s="14">
        <v>1.8007169999999999</v>
      </c>
      <c r="O50" s="14">
        <v>1.2979999999999999E-3</v>
      </c>
      <c r="P50" s="13">
        <f t="shared" si="0"/>
        <v>2.3373306659999998E-3</v>
      </c>
      <c r="Q50" s="14">
        <v>0.99804300000000001</v>
      </c>
      <c r="R50" s="14">
        <v>2.8739999999999998E-3</v>
      </c>
      <c r="S50" s="13">
        <f t="shared" si="6"/>
        <v>2.8683755819999997E-3</v>
      </c>
      <c r="T50" s="14">
        <v>1.7998130000000001</v>
      </c>
      <c r="U50" s="14">
        <v>1.4416E-2</v>
      </c>
      <c r="V50" s="13">
        <f t="shared" si="1"/>
        <v>2.5946104208E-2</v>
      </c>
      <c r="W50" s="14">
        <v>0.99888600000000005</v>
      </c>
      <c r="X50" s="14">
        <v>0.27080500000000002</v>
      </c>
      <c r="Y50" s="13">
        <f t="shared" si="2"/>
        <v>0.27050332323000004</v>
      </c>
      <c r="Z50" s="14">
        <f t="shared" si="3"/>
        <v>0.58225229021000002</v>
      </c>
    </row>
    <row r="51" spans="1:26" x14ac:dyDescent="0.7">
      <c r="A51" s="8">
        <v>14</v>
      </c>
      <c r="B51" s="9">
        <v>19000</v>
      </c>
      <c r="C51" s="15">
        <v>-30.02045018676144</v>
      </c>
      <c r="D51" s="10">
        <f t="shared" si="7"/>
        <v>-4.2246290433946712</v>
      </c>
      <c r="E51" s="10">
        <v>25.795821143366769</v>
      </c>
      <c r="F51" s="12" t="s">
        <v>15</v>
      </c>
      <c r="G51" s="29" t="s">
        <v>22</v>
      </c>
      <c r="H51" s="12"/>
      <c r="I51" s="10"/>
      <c r="J51" s="12"/>
      <c r="K51" s="14">
        <v>1.4999260000000001</v>
      </c>
      <c r="L51" s="14">
        <v>0.18772800000000001</v>
      </c>
      <c r="M51" s="13">
        <f t="shared" si="5"/>
        <v>0.28157810812800005</v>
      </c>
      <c r="N51" s="14">
        <v>1.8007169999999999</v>
      </c>
      <c r="O51" s="14">
        <v>1.2979999999999999E-3</v>
      </c>
      <c r="P51" s="13">
        <f t="shared" si="0"/>
        <v>2.3373306659999998E-3</v>
      </c>
      <c r="Q51" s="14">
        <v>0.99804300000000001</v>
      </c>
      <c r="R51" s="14">
        <v>2.8739999999999998E-3</v>
      </c>
      <c r="S51" s="13">
        <f t="shared" si="6"/>
        <v>2.8683755819999997E-3</v>
      </c>
      <c r="T51" s="14">
        <v>1.7998130000000001</v>
      </c>
      <c r="U51" s="14">
        <v>1.4420000000000001E-2</v>
      </c>
      <c r="V51" s="13">
        <f t="shared" si="1"/>
        <v>2.5953303460000004E-2</v>
      </c>
      <c r="W51" s="14">
        <v>0.99888600000000005</v>
      </c>
      <c r="X51" s="14">
        <v>0.27087099999999997</v>
      </c>
      <c r="Y51" s="13">
        <f t="shared" si="2"/>
        <v>0.27056924970599999</v>
      </c>
      <c r="Z51" s="14">
        <f t="shared" si="3"/>
        <v>0.58330636754200005</v>
      </c>
    </row>
    <row r="52" spans="1:26" x14ac:dyDescent="0.7">
      <c r="A52" s="8">
        <v>15</v>
      </c>
      <c r="B52" s="9">
        <v>19000</v>
      </c>
      <c r="C52" s="15">
        <v>-29.02045018676144</v>
      </c>
      <c r="D52" s="10">
        <f t="shared" si="7"/>
        <v>-4.1568920433946701</v>
      </c>
      <c r="E52" s="10">
        <v>24.86355814336677</v>
      </c>
      <c r="F52" s="12" t="s">
        <v>15</v>
      </c>
      <c r="G52" s="29" t="s">
        <v>22</v>
      </c>
      <c r="H52" s="12"/>
      <c r="I52" s="10"/>
      <c r="J52" s="12"/>
      <c r="K52" s="14">
        <v>1.4999260000000001</v>
      </c>
      <c r="L52" s="14">
        <v>0.188054</v>
      </c>
      <c r="M52" s="13">
        <f t="shared" si="5"/>
        <v>0.28206708400399999</v>
      </c>
      <c r="N52" s="14">
        <v>1.8007169999999999</v>
      </c>
      <c r="O52" s="14">
        <v>1.2979999999999999E-3</v>
      </c>
      <c r="P52" s="13">
        <f t="shared" si="0"/>
        <v>2.3373306659999998E-3</v>
      </c>
      <c r="Q52" s="14">
        <v>0.99804300000000001</v>
      </c>
      <c r="R52" s="14">
        <v>2.875E-3</v>
      </c>
      <c r="S52" s="13">
        <f t="shared" si="6"/>
        <v>2.8693736249999998E-3</v>
      </c>
      <c r="T52" s="14">
        <v>1.7998130000000001</v>
      </c>
      <c r="U52" s="14">
        <v>1.4425E-2</v>
      </c>
      <c r="V52" s="13">
        <f t="shared" si="1"/>
        <v>2.5962302525000001E-2</v>
      </c>
      <c r="W52" s="14">
        <v>0.99888600000000005</v>
      </c>
      <c r="X52" s="14">
        <v>0.27093600000000001</v>
      </c>
      <c r="Y52" s="13">
        <f t="shared" si="2"/>
        <v>0.27063417729600003</v>
      </c>
      <c r="Z52" s="14">
        <f t="shared" si="3"/>
        <v>0.58387026811599996</v>
      </c>
    </row>
    <row r="53" spans="1:26" x14ac:dyDescent="0.7">
      <c r="A53" s="8">
        <v>16</v>
      </c>
      <c r="B53" s="9">
        <v>19000</v>
      </c>
      <c r="C53" s="15">
        <v>-28.02045018676144</v>
      </c>
      <c r="D53" s="10">
        <f t="shared" si="7"/>
        <v>-4.1738296433946687</v>
      </c>
      <c r="E53" s="10">
        <v>23.846620543366772</v>
      </c>
      <c r="F53" s="12" t="s">
        <v>15</v>
      </c>
      <c r="G53" s="29" t="s">
        <v>22</v>
      </c>
      <c r="H53" s="12"/>
      <c r="I53" s="10"/>
      <c r="J53" s="12"/>
      <c r="K53" s="14">
        <v>1.4999260000000001</v>
      </c>
      <c r="L53" s="14">
        <v>0.18870700000000001</v>
      </c>
      <c r="M53" s="13">
        <f t="shared" si="5"/>
        <v>0.28304653568200006</v>
      </c>
      <c r="N53" s="14">
        <v>1.8007169999999999</v>
      </c>
      <c r="O53" s="14">
        <v>1.2979999999999999E-3</v>
      </c>
      <c r="P53" s="13">
        <f t="shared" si="0"/>
        <v>2.3373306659999998E-3</v>
      </c>
      <c r="Q53" s="14">
        <v>0.99804300000000001</v>
      </c>
      <c r="R53" s="14">
        <v>2.875E-3</v>
      </c>
      <c r="S53" s="13">
        <f t="shared" si="6"/>
        <v>2.8693736249999998E-3</v>
      </c>
      <c r="T53" s="14">
        <v>1.7998130000000001</v>
      </c>
      <c r="U53" s="14">
        <v>1.4427000000000001E-2</v>
      </c>
      <c r="V53" s="13">
        <f t="shared" si="1"/>
        <v>2.5965902151000003E-2</v>
      </c>
      <c r="W53" s="14">
        <v>0.99888600000000005</v>
      </c>
      <c r="X53" s="14">
        <v>0.27093600000000001</v>
      </c>
      <c r="Y53" s="13">
        <f t="shared" si="2"/>
        <v>0.27063417729600003</v>
      </c>
      <c r="Z53" s="14">
        <f t="shared" si="3"/>
        <v>0.58485331942000007</v>
      </c>
    </row>
    <row r="54" spans="1:26" x14ac:dyDescent="0.7">
      <c r="A54" s="8">
        <v>17</v>
      </c>
      <c r="B54" s="9">
        <v>19000</v>
      </c>
      <c r="C54" s="15">
        <v>-27.02045018676144</v>
      </c>
      <c r="D54" s="10">
        <f t="shared" si="7"/>
        <v>-4.25562874339467</v>
      </c>
      <c r="E54" s="10">
        <v>22.76482144336677</v>
      </c>
      <c r="F54" s="12" t="s">
        <v>15</v>
      </c>
      <c r="G54" s="29" t="s">
        <v>22</v>
      </c>
      <c r="H54" s="12"/>
      <c r="I54" s="10"/>
      <c r="J54" s="12"/>
      <c r="K54" s="14">
        <v>1.4999260000000001</v>
      </c>
      <c r="L54" s="14">
        <v>0.18936</v>
      </c>
      <c r="M54" s="13">
        <f t="shared" si="5"/>
        <v>0.28402598736000001</v>
      </c>
      <c r="N54" s="14">
        <v>1.8007169999999999</v>
      </c>
      <c r="O54" s="14">
        <v>1.2979999999999999E-3</v>
      </c>
      <c r="P54" s="13">
        <f t="shared" si="0"/>
        <v>2.3373306659999998E-3</v>
      </c>
      <c r="Q54" s="14">
        <v>0.99804300000000001</v>
      </c>
      <c r="R54" s="14">
        <v>2.875E-3</v>
      </c>
      <c r="S54" s="13">
        <f t="shared" si="6"/>
        <v>2.8693736249999998E-3</v>
      </c>
      <c r="T54" s="14">
        <v>1.7998130000000001</v>
      </c>
      <c r="U54" s="14">
        <v>1.4423E-2</v>
      </c>
      <c r="V54" s="13">
        <f t="shared" si="1"/>
        <v>2.5958702899000003E-2</v>
      </c>
      <c r="W54" s="14">
        <v>0.99888600000000005</v>
      </c>
      <c r="X54" s="14">
        <v>0.27093600000000001</v>
      </c>
      <c r="Y54" s="13">
        <f t="shared" si="2"/>
        <v>0.27063417729600003</v>
      </c>
      <c r="Z54" s="14">
        <f t="shared" si="3"/>
        <v>0.58582557184600004</v>
      </c>
    </row>
    <row r="55" spans="1:26" x14ac:dyDescent="0.7">
      <c r="A55" s="8">
        <v>18</v>
      </c>
      <c r="B55" s="9">
        <v>19000</v>
      </c>
      <c r="C55" s="15">
        <v>-26.02045018676144</v>
      </c>
      <c r="D55" s="10">
        <f t="shared" si="7"/>
        <v>-4.3662106433946697</v>
      </c>
      <c r="E55" s="10">
        <v>21.654239543366771</v>
      </c>
      <c r="F55" s="12" t="s">
        <v>15</v>
      </c>
      <c r="G55" s="29" t="s">
        <v>22</v>
      </c>
      <c r="H55" s="12"/>
      <c r="I55" s="10"/>
      <c r="J55" s="12"/>
      <c r="K55" s="14">
        <v>1.4999260000000001</v>
      </c>
      <c r="L55" s="14">
        <v>0.19001399999999999</v>
      </c>
      <c r="M55" s="13">
        <f t="shared" si="5"/>
        <v>0.28500693896399998</v>
      </c>
      <c r="N55" s="14">
        <v>1.8007169999999999</v>
      </c>
      <c r="O55" s="14">
        <v>1.2979999999999999E-3</v>
      </c>
      <c r="P55" s="13">
        <f t="shared" si="0"/>
        <v>2.3373306659999998E-3</v>
      </c>
      <c r="Q55" s="14">
        <v>0.99804300000000001</v>
      </c>
      <c r="R55" s="14">
        <v>2.875E-3</v>
      </c>
      <c r="S55" s="13">
        <f t="shared" si="6"/>
        <v>2.8693736249999998E-3</v>
      </c>
      <c r="T55" s="14">
        <v>1.7998130000000001</v>
      </c>
      <c r="U55" s="14">
        <v>1.443E-2</v>
      </c>
      <c r="V55" s="13">
        <f t="shared" si="1"/>
        <v>2.5971301590000002E-2</v>
      </c>
      <c r="W55" s="14">
        <v>0.99888600000000005</v>
      </c>
      <c r="X55" s="14">
        <v>0.27100200000000002</v>
      </c>
      <c r="Y55" s="13">
        <f t="shared" si="2"/>
        <v>0.27070010377200004</v>
      </c>
      <c r="Z55" s="14">
        <f t="shared" si="3"/>
        <v>0.58688504861700008</v>
      </c>
    </row>
    <row r="56" spans="1:26" x14ac:dyDescent="0.7">
      <c r="A56" s="8">
        <v>19</v>
      </c>
      <c r="B56" s="9">
        <v>19000</v>
      </c>
      <c r="C56" s="15">
        <v>-25.02045018676144</v>
      </c>
      <c r="D56" s="10">
        <f t="shared" si="7"/>
        <v>-4.5007855433946702</v>
      </c>
      <c r="E56" s="10">
        <v>20.51966464336677</v>
      </c>
      <c r="F56" s="12" t="s">
        <v>15</v>
      </c>
      <c r="G56" s="29" t="s">
        <v>22</v>
      </c>
      <c r="H56" s="12"/>
      <c r="I56" s="10"/>
      <c r="J56" s="12"/>
      <c r="K56" s="14">
        <v>1.4999260000000001</v>
      </c>
      <c r="L56" s="14">
        <v>0.190993</v>
      </c>
      <c r="M56" s="13">
        <f t="shared" si="5"/>
        <v>0.28647536651799999</v>
      </c>
      <c r="N56" s="14">
        <v>1.8007169999999999</v>
      </c>
      <c r="O56" s="14">
        <v>1.2979999999999999E-3</v>
      </c>
      <c r="P56" s="13">
        <f t="shared" si="0"/>
        <v>2.3373306659999998E-3</v>
      </c>
      <c r="Q56" s="14">
        <v>0.99804300000000001</v>
      </c>
      <c r="R56" s="14">
        <v>2.875E-3</v>
      </c>
      <c r="S56" s="13">
        <f t="shared" si="6"/>
        <v>2.8693736249999998E-3</v>
      </c>
      <c r="T56" s="14">
        <v>1.7998130000000001</v>
      </c>
      <c r="U56" s="14">
        <v>1.4434000000000001E-2</v>
      </c>
      <c r="V56" s="13">
        <f t="shared" si="1"/>
        <v>2.5978500842000003E-2</v>
      </c>
      <c r="W56" s="14">
        <v>0.99888600000000005</v>
      </c>
      <c r="X56" s="14">
        <v>0.27106799999999998</v>
      </c>
      <c r="Y56" s="13">
        <f t="shared" si="2"/>
        <v>0.270766030248</v>
      </c>
      <c r="Z56" s="14">
        <f t="shared" si="3"/>
        <v>0.58842660189899998</v>
      </c>
    </row>
    <row r="57" spans="1:26" x14ac:dyDescent="0.7">
      <c r="A57" s="8">
        <v>20</v>
      </c>
      <c r="B57" s="9">
        <v>19000</v>
      </c>
      <c r="C57" s="15">
        <v>-24.02045018676144</v>
      </c>
      <c r="D57" s="10">
        <f t="shared" si="7"/>
        <v>-4.6169561433946704</v>
      </c>
      <c r="E57" s="10">
        <v>19.40349404336677</v>
      </c>
      <c r="F57" s="12" t="s">
        <v>15</v>
      </c>
      <c r="G57" s="29" t="s">
        <v>22</v>
      </c>
      <c r="H57" s="12"/>
      <c r="I57" s="10"/>
      <c r="J57" s="12"/>
      <c r="K57" s="14">
        <v>1.4999260000000001</v>
      </c>
      <c r="L57" s="14">
        <v>0.19164600000000001</v>
      </c>
      <c r="M57" s="13">
        <f t="shared" si="5"/>
        <v>0.28745481819600005</v>
      </c>
      <c r="N57" s="14">
        <v>1.8007169999999999</v>
      </c>
      <c r="O57" s="14">
        <v>1.2979999999999999E-3</v>
      </c>
      <c r="P57" s="13">
        <f t="shared" si="0"/>
        <v>2.3373306659999998E-3</v>
      </c>
      <c r="Q57" s="14">
        <v>0.99804300000000001</v>
      </c>
      <c r="R57" s="14">
        <v>2.8760000000000001E-3</v>
      </c>
      <c r="S57" s="13">
        <f t="shared" si="6"/>
        <v>2.870371668E-3</v>
      </c>
      <c r="T57" s="14">
        <v>1.7998130000000001</v>
      </c>
      <c r="U57" s="14">
        <v>1.4432E-2</v>
      </c>
      <c r="V57" s="13">
        <f t="shared" si="1"/>
        <v>2.5974901216000001E-2</v>
      </c>
      <c r="W57" s="14">
        <v>0.99888600000000005</v>
      </c>
      <c r="X57" s="14">
        <v>0.27113300000000001</v>
      </c>
      <c r="Y57" s="13">
        <f t="shared" si="2"/>
        <v>0.27083095783800004</v>
      </c>
      <c r="Z57" s="14">
        <f t="shared" si="3"/>
        <v>0.58946837958400011</v>
      </c>
    </row>
    <row r="58" spans="1:26" x14ac:dyDescent="0.7">
      <c r="A58" s="8">
        <v>21</v>
      </c>
      <c r="B58" s="9">
        <v>19000</v>
      </c>
      <c r="C58" s="15">
        <v>-23.02045018676144</v>
      </c>
      <c r="D58" s="10">
        <f t="shared" si="7"/>
        <v>-4.7157370433946717</v>
      </c>
      <c r="E58" s="10">
        <v>18.304713143366769</v>
      </c>
      <c r="F58" s="12" t="s">
        <v>15</v>
      </c>
      <c r="G58" s="29" t="s">
        <v>22</v>
      </c>
      <c r="H58" s="12"/>
      <c r="I58" s="10"/>
      <c r="J58" s="12"/>
      <c r="K58" s="14">
        <v>1.4999260000000001</v>
      </c>
      <c r="L58" s="14">
        <v>0.192463</v>
      </c>
      <c r="M58" s="13">
        <f t="shared" si="5"/>
        <v>0.28868025773799999</v>
      </c>
      <c r="N58" s="14">
        <v>1.8007169999999999</v>
      </c>
      <c r="O58" s="14">
        <v>1.2979999999999999E-3</v>
      </c>
      <c r="P58" s="13">
        <f t="shared" si="0"/>
        <v>2.3373306659999998E-3</v>
      </c>
      <c r="Q58" s="14">
        <v>0.99804300000000001</v>
      </c>
      <c r="R58" s="14">
        <v>2.8760000000000001E-3</v>
      </c>
      <c r="S58" s="13">
        <f t="shared" si="6"/>
        <v>2.870371668E-3</v>
      </c>
      <c r="T58" s="14">
        <v>1.7998130000000001</v>
      </c>
      <c r="U58" s="14">
        <v>1.443E-2</v>
      </c>
      <c r="V58" s="13">
        <f t="shared" si="1"/>
        <v>2.5971301590000002E-2</v>
      </c>
      <c r="W58" s="14">
        <v>0.99888600000000005</v>
      </c>
      <c r="X58" s="14">
        <v>0.27113300000000001</v>
      </c>
      <c r="Y58" s="13">
        <f t="shared" si="2"/>
        <v>0.27083095783800004</v>
      </c>
      <c r="Z58" s="14">
        <f t="shared" si="3"/>
        <v>0.59069021950000011</v>
      </c>
    </row>
    <row r="59" spans="1:26" x14ac:dyDescent="0.7">
      <c r="A59" s="8">
        <v>22</v>
      </c>
      <c r="B59" s="9">
        <v>19000</v>
      </c>
      <c r="C59" s="15">
        <v>-22.02045018676144</v>
      </c>
      <c r="D59" s="10">
        <f t="shared" si="7"/>
        <v>-4.7895555433946697</v>
      </c>
      <c r="E59" s="10">
        <v>17.230894643366771</v>
      </c>
      <c r="F59" s="12" t="s">
        <v>15</v>
      </c>
      <c r="G59" s="29" t="s">
        <v>22</v>
      </c>
      <c r="H59" s="12"/>
      <c r="I59" s="10"/>
      <c r="J59" s="12"/>
      <c r="K59" s="14">
        <v>1.4999260000000001</v>
      </c>
      <c r="L59" s="14">
        <v>0.19327900000000001</v>
      </c>
      <c r="M59" s="13">
        <f t="shared" si="5"/>
        <v>0.28990419735400003</v>
      </c>
      <c r="N59" s="14">
        <v>1.8007169999999999</v>
      </c>
      <c r="O59" s="14">
        <v>1.2979999999999999E-3</v>
      </c>
      <c r="P59" s="13">
        <f t="shared" si="0"/>
        <v>2.3373306659999998E-3</v>
      </c>
      <c r="Q59" s="14">
        <v>0.99804300000000001</v>
      </c>
      <c r="R59" s="14">
        <v>2.8760000000000001E-3</v>
      </c>
      <c r="S59" s="13">
        <f t="shared" si="6"/>
        <v>2.870371668E-3</v>
      </c>
      <c r="T59" s="14">
        <v>1.7998130000000001</v>
      </c>
      <c r="U59" s="14">
        <v>1.4446000000000001E-2</v>
      </c>
      <c r="V59" s="13">
        <f t="shared" si="1"/>
        <v>2.6000098598000003E-2</v>
      </c>
      <c r="W59" s="14">
        <v>0.99888600000000005</v>
      </c>
      <c r="X59" s="14">
        <v>0.27113300000000001</v>
      </c>
      <c r="Y59" s="13">
        <f t="shared" si="2"/>
        <v>0.27083095783800004</v>
      </c>
      <c r="Z59" s="14">
        <f t="shared" si="3"/>
        <v>0.59194295612400016</v>
      </c>
    </row>
    <row r="60" spans="1:26" x14ac:dyDescent="0.7">
      <c r="A60" s="8">
        <v>23</v>
      </c>
      <c r="B60" s="9">
        <v>19000</v>
      </c>
      <c r="C60" s="15">
        <v>-21.02045018676144</v>
      </c>
      <c r="D60" s="10">
        <f t="shared" si="7"/>
        <v>-4.8184068433946692</v>
      </c>
      <c r="E60" s="10">
        <v>16.202043343366771</v>
      </c>
      <c r="F60" s="12" t="s">
        <v>15</v>
      </c>
      <c r="G60" s="29" t="s">
        <v>22</v>
      </c>
      <c r="H60" s="29"/>
      <c r="I60" s="10"/>
      <c r="J60" s="12"/>
      <c r="K60" s="14">
        <v>1.4999260000000001</v>
      </c>
      <c r="L60" s="14">
        <v>0.19442200000000001</v>
      </c>
      <c r="M60" s="13">
        <f t="shared" si="5"/>
        <v>0.29161861277200002</v>
      </c>
      <c r="N60" s="14">
        <v>1.8007169999999999</v>
      </c>
      <c r="O60" s="14">
        <v>1.2979999999999999E-3</v>
      </c>
      <c r="P60" s="13">
        <f t="shared" si="0"/>
        <v>2.3373306659999998E-3</v>
      </c>
      <c r="Q60" s="14">
        <v>0.99804300000000001</v>
      </c>
      <c r="R60" s="14">
        <v>2.8770000000000002E-3</v>
      </c>
      <c r="S60" s="13">
        <f t="shared" si="6"/>
        <v>2.8713697110000001E-3</v>
      </c>
      <c r="T60" s="14">
        <v>1.7998130000000001</v>
      </c>
      <c r="U60" s="14">
        <v>1.4449E-2</v>
      </c>
      <c r="V60" s="13">
        <f t="shared" si="1"/>
        <v>2.6005498037000002E-2</v>
      </c>
      <c r="W60" s="14">
        <v>0.99888600000000005</v>
      </c>
      <c r="X60" s="14">
        <v>0.27133000000000002</v>
      </c>
      <c r="Y60" s="13">
        <f t="shared" si="2"/>
        <v>0.27102773838000005</v>
      </c>
      <c r="Z60" s="14">
        <f t="shared" si="3"/>
        <v>0.5938605495660001</v>
      </c>
    </row>
    <row r="61" spans="1:26" x14ac:dyDescent="0.7">
      <c r="A61" s="8">
        <v>24</v>
      </c>
      <c r="B61" s="9">
        <v>19000</v>
      </c>
      <c r="C61" s="15">
        <v>-20.02045018676144</v>
      </c>
      <c r="D61" s="10">
        <f t="shared" si="7"/>
        <v>-4.8030717433946712</v>
      </c>
      <c r="E61" s="10">
        <v>15.217378443366769</v>
      </c>
      <c r="F61" s="12" t="s">
        <v>15</v>
      </c>
      <c r="G61" s="29" t="s">
        <v>22</v>
      </c>
      <c r="H61" s="12"/>
      <c r="I61" s="10"/>
      <c r="J61" s="12"/>
      <c r="K61" s="14">
        <v>1.4999260000000001</v>
      </c>
      <c r="L61" s="14">
        <v>0.19523799999999999</v>
      </c>
      <c r="M61" s="13">
        <f t="shared" si="5"/>
        <v>0.292842552388</v>
      </c>
      <c r="N61" s="14">
        <v>1.8007169999999999</v>
      </c>
      <c r="O61" s="14">
        <v>1.297E-3</v>
      </c>
      <c r="P61" s="13">
        <f t="shared" si="0"/>
        <v>2.3355299489999999E-3</v>
      </c>
      <c r="Q61" s="14">
        <v>0.99804300000000001</v>
      </c>
      <c r="R61" s="14">
        <v>2.8760000000000001E-3</v>
      </c>
      <c r="S61" s="13">
        <f t="shared" si="6"/>
        <v>2.870371668E-3</v>
      </c>
      <c r="T61" s="14">
        <v>1.7998130000000001</v>
      </c>
      <c r="U61" s="14">
        <v>1.4446000000000001E-2</v>
      </c>
      <c r="V61" s="13">
        <f t="shared" si="1"/>
        <v>2.6000098598000003E-2</v>
      </c>
      <c r="W61" s="14">
        <v>0.99888600000000005</v>
      </c>
      <c r="X61" s="14">
        <v>0.27126499999999998</v>
      </c>
      <c r="Y61" s="13">
        <f t="shared" si="2"/>
        <v>0.27096281079000001</v>
      </c>
      <c r="Z61" s="14">
        <f t="shared" si="3"/>
        <v>0.59501136339300009</v>
      </c>
    </row>
    <row r="62" spans="1:26" x14ac:dyDescent="0.7">
      <c r="A62" s="8">
        <v>25</v>
      </c>
      <c r="B62" s="9">
        <v>19000</v>
      </c>
      <c r="C62" s="15">
        <v>-19.02045018676144</v>
      </c>
      <c r="D62" s="10">
        <f t="shared" si="7"/>
        <v>-4.7471124433946699</v>
      </c>
      <c r="E62" s="10">
        <v>14.273337743366771</v>
      </c>
      <c r="F62" s="12" t="s">
        <v>15</v>
      </c>
      <c r="G62" s="29" t="s">
        <v>22</v>
      </c>
      <c r="H62" s="12"/>
      <c r="I62" s="10"/>
      <c r="J62" s="12"/>
      <c r="K62" s="14">
        <v>1.4999260000000001</v>
      </c>
      <c r="L62" s="14">
        <v>0.196381</v>
      </c>
      <c r="M62" s="13">
        <f t="shared" si="5"/>
        <v>0.29455696780599999</v>
      </c>
      <c r="N62" s="14">
        <v>1.8007169999999999</v>
      </c>
      <c r="O62" s="14">
        <v>1.2979999999999999E-3</v>
      </c>
      <c r="P62" s="13">
        <f t="shared" si="0"/>
        <v>2.3373306659999998E-3</v>
      </c>
      <c r="Q62" s="14">
        <v>0.99804300000000001</v>
      </c>
      <c r="R62" s="14">
        <v>2.8760000000000001E-3</v>
      </c>
      <c r="S62" s="13">
        <f t="shared" si="6"/>
        <v>2.870371668E-3</v>
      </c>
      <c r="T62" s="14">
        <v>1.7998130000000001</v>
      </c>
      <c r="U62" s="14">
        <v>1.4446000000000001E-2</v>
      </c>
      <c r="V62" s="13">
        <f t="shared" si="1"/>
        <v>2.6000098598000003E-2</v>
      </c>
      <c r="W62" s="14">
        <v>0.99888600000000005</v>
      </c>
      <c r="X62" s="14">
        <v>0.27126499999999998</v>
      </c>
      <c r="Y62" s="13">
        <f t="shared" si="2"/>
        <v>0.27096281079000001</v>
      </c>
      <c r="Z62" s="14">
        <f t="shared" si="3"/>
        <v>0.59672757952800004</v>
      </c>
    </row>
    <row r="63" spans="1:26" x14ac:dyDescent="0.7">
      <c r="A63" s="8">
        <v>26</v>
      </c>
      <c r="B63" s="9">
        <v>19000</v>
      </c>
      <c r="C63" s="15">
        <v>-18.02045018676144</v>
      </c>
      <c r="D63" s="10">
        <f t="shared" si="7"/>
        <v>-4.6499006433946697</v>
      </c>
      <c r="E63" s="10">
        <v>13.370549543366771</v>
      </c>
      <c r="F63" s="12" t="s">
        <v>15</v>
      </c>
      <c r="G63" s="29" t="s">
        <v>22</v>
      </c>
      <c r="H63" s="12"/>
      <c r="I63" s="10"/>
      <c r="J63" s="12"/>
      <c r="K63" s="14">
        <v>1.4999260000000001</v>
      </c>
      <c r="L63" s="14">
        <v>0.197688</v>
      </c>
      <c r="M63" s="13">
        <f t="shared" si="5"/>
        <v>0.29651737108800003</v>
      </c>
      <c r="N63" s="14">
        <v>1.8007169999999999</v>
      </c>
      <c r="O63" s="14">
        <v>1.297E-3</v>
      </c>
      <c r="P63" s="13">
        <f t="shared" si="0"/>
        <v>2.3355299489999999E-3</v>
      </c>
      <c r="Q63" s="14">
        <v>0.99804300000000001</v>
      </c>
      <c r="R63" s="14">
        <v>2.8770000000000002E-3</v>
      </c>
      <c r="S63" s="13">
        <f t="shared" si="6"/>
        <v>2.8713697110000001E-3</v>
      </c>
      <c r="T63" s="14">
        <v>1.7998130000000001</v>
      </c>
      <c r="U63" s="14">
        <v>1.4442E-2</v>
      </c>
      <c r="V63" s="13">
        <f t="shared" si="1"/>
        <v>2.5992899346000003E-2</v>
      </c>
      <c r="W63" s="14">
        <v>0.99888600000000005</v>
      </c>
      <c r="X63" s="14">
        <v>0.27133000000000002</v>
      </c>
      <c r="Y63" s="13">
        <f t="shared" si="2"/>
        <v>0.27102773838000005</v>
      </c>
      <c r="Z63" s="14">
        <f t="shared" si="3"/>
        <v>0.59874490847400008</v>
      </c>
    </row>
    <row r="64" spans="1:26" x14ac:dyDescent="0.7">
      <c r="A64" s="8">
        <v>27</v>
      </c>
      <c r="B64" s="9">
        <v>19000</v>
      </c>
      <c r="C64" s="15">
        <v>-17.021828766761441</v>
      </c>
      <c r="D64" s="10">
        <f t="shared" si="7"/>
        <v>-4.498417143394672</v>
      </c>
      <c r="E64" s="10">
        <v>12.523411623366769</v>
      </c>
      <c r="F64" s="12" t="s">
        <v>15</v>
      </c>
      <c r="G64" s="29" t="s">
        <v>22</v>
      </c>
      <c r="H64" s="12"/>
      <c r="I64" s="10"/>
      <c r="J64" s="12"/>
      <c r="K64" s="14">
        <v>1.4999260000000001</v>
      </c>
      <c r="L64" s="14">
        <v>0.199157</v>
      </c>
      <c r="M64" s="13">
        <f t="shared" si="5"/>
        <v>0.29872076238200002</v>
      </c>
      <c r="N64" s="14">
        <v>1.8007169999999999</v>
      </c>
      <c r="O64" s="14">
        <v>1.2979999999999999E-3</v>
      </c>
      <c r="P64" s="13">
        <f t="shared" si="0"/>
        <v>2.3373306659999998E-3</v>
      </c>
      <c r="Q64" s="14">
        <v>0.99804300000000001</v>
      </c>
      <c r="R64" s="14">
        <v>2.8770000000000002E-3</v>
      </c>
      <c r="S64" s="13">
        <f t="shared" si="6"/>
        <v>2.8713697110000001E-3</v>
      </c>
      <c r="T64" s="14">
        <v>1.7998130000000001</v>
      </c>
      <c r="U64" s="14">
        <v>1.4451E-2</v>
      </c>
      <c r="V64" s="13">
        <f t="shared" si="1"/>
        <v>2.6009097663000001E-2</v>
      </c>
      <c r="W64" s="14">
        <v>0.99888600000000005</v>
      </c>
      <c r="X64" s="14">
        <v>0.27159299999999997</v>
      </c>
      <c r="Y64" s="13">
        <f t="shared" si="2"/>
        <v>0.27129044539800001</v>
      </c>
      <c r="Z64" s="14">
        <f t="shared" si="3"/>
        <v>0.60122900582000005</v>
      </c>
    </row>
    <row r="65" spans="1:26" x14ac:dyDescent="0.7">
      <c r="A65" s="8">
        <v>28</v>
      </c>
      <c r="B65" s="9">
        <v>19000</v>
      </c>
      <c r="C65" s="15">
        <v>-16.018493766761431</v>
      </c>
      <c r="D65" s="10">
        <f t="shared" si="7"/>
        <v>-4.32274364339467</v>
      </c>
      <c r="E65" s="10">
        <v>11.695750123366761</v>
      </c>
      <c r="F65" s="12" t="s">
        <v>15</v>
      </c>
      <c r="G65" s="29" t="s">
        <v>22</v>
      </c>
      <c r="H65" s="12"/>
      <c r="I65" s="10"/>
      <c r="J65" s="12"/>
      <c r="K65" s="14">
        <v>1.4999260000000001</v>
      </c>
      <c r="L65" s="14">
        <v>0.200463</v>
      </c>
      <c r="M65" s="13">
        <f t="shared" si="5"/>
        <v>0.30067966573800003</v>
      </c>
      <c r="N65" s="14">
        <v>1.8007169999999999</v>
      </c>
      <c r="O65" s="14">
        <v>1.2979999999999999E-3</v>
      </c>
      <c r="P65" s="13">
        <f t="shared" si="0"/>
        <v>2.3373306659999998E-3</v>
      </c>
      <c r="Q65" s="14">
        <v>0.99804300000000001</v>
      </c>
      <c r="R65" s="14">
        <v>2.8770000000000002E-3</v>
      </c>
      <c r="S65" s="13">
        <f t="shared" si="6"/>
        <v>2.8713697110000001E-3</v>
      </c>
      <c r="T65" s="14">
        <v>1.7998130000000001</v>
      </c>
      <c r="U65" s="14">
        <v>1.4446000000000001E-2</v>
      </c>
      <c r="V65" s="13">
        <f t="shared" si="1"/>
        <v>2.6000098598000003E-2</v>
      </c>
      <c r="W65" s="14">
        <v>0.99888600000000005</v>
      </c>
      <c r="X65" s="14">
        <v>0.27146199999999998</v>
      </c>
      <c r="Y65" s="13">
        <f t="shared" si="2"/>
        <v>0.27115959133200002</v>
      </c>
      <c r="Z65" s="14">
        <f t="shared" si="3"/>
        <v>0.603048056045</v>
      </c>
    </row>
    <row r="66" spans="1:26" x14ac:dyDescent="0.7">
      <c r="A66" s="8">
        <v>29</v>
      </c>
      <c r="B66" s="9">
        <v>19000</v>
      </c>
      <c r="C66" s="15">
        <v>-15.020379966761441</v>
      </c>
      <c r="D66" s="10">
        <f t="shared" si="7"/>
        <v>-4.1255484433946812</v>
      </c>
      <c r="E66" s="10">
        <v>10.89483152336676</v>
      </c>
      <c r="F66" s="12" t="s">
        <v>15</v>
      </c>
      <c r="G66" s="29" t="s">
        <v>22</v>
      </c>
      <c r="H66" s="50"/>
      <c r="I66" s="10"/>
      <c r="J66" s="12"/>
      <c r="K66" s="14">
        <v>1.4999260000000001</v>
      </c>
      <c r="L66" s="14">
        <v>0.20177</v>
      </c>
      <c r="M66" s="13">
        <f t="shared" si="5"/>
        <v>0.30264006902000001</v>
      </c>
      <c r="N66" s="14">
        <v>1.8007169999999999</v>
      </c>
      <c r="O66" s="14">
        <v>1.2979999999999999E-3</v>
      </c>
      <c r="P66" s="13">
        <f t="shared" si="0"/>
        <v>2.3373306659999998E-3</v>
      </c>
      <c r="Q66" s="14">
        <v>0.99804300000000001</v>
      </c>
      <c r="R66" s="14">
        <v>2.8779999999999999E-3</v>
      </c>
      <c r="S66" s="13">
        <f t="shared" si="6"/>
        <v>2.8723677539999998E-3</v>
      </c>
      <c r="T66" s="14">
        <v>1.7998130000000001</v>
      </c>
      <c r="U66" s="14">
        <v>1.4449E-2</v>
      </c>
      <c r="V66" s="13">
        <f t="shared" si="1"/>
        <v>2.6005498037000002E-2</v>
      </c>
      <c r="W66" s="14">
        <v>0.99888600000000005</v>
      </c>
      <c r="X66" s="14">
        <v>0.27165899999999998</v>
      </c>
      <c r="Y66" s="13">
        <f t="shared" si="2"/>
        <v>0.27135637187400002</v>
      </c>
      <c r="Z66" s="14">
        <f t="shared" si="3"/>
        <v>0.60521163735100014</v>
      </c>
    </row>
    <row r="67" spans="1:26" x14ac:dyDescent="0.7">
      <c r="A67" s="8">
        <v>30</v>
      </c>
      <c r="B67" s="9">
        <v>19000</v>
      </c>
      <c r="C67" s="15">
        <v>-14.021508466761439</v>
      </c>
      <c r="D67" s="10">
        <f t="shared" si="7"/>
        <v>-3.9116975433946699</v>
      </c>
      <c r="E67" s="10">
        <v>10.109810923366769</v>
      </c>
      <c r="F67" s="12" t="s">
        <v>15</v>
      </c>
      <c r="G67" s="29" t="s">
        <v>22</v>
      </c>
      <c r="H67" s="12"/>
      <c r="I67" s="10"/>
      <c r="J67" s="12"/>
      <c r="K67" s="14">
        <v>1.4999260000000001</v>
      </c>
      <c r="L67" s="14">
        <v>0.20242299999999999</v>
      </c>
      <c r="M67" s="13">
        <f t="shared" si="5"/>
        <v>0.30361952069800002</v>
      </c>
      <c r="N67" s="14">
        <v>1.8007169999999999</v>
      </c>
      <c r="O67" s="14">
        <v>1.2979999999999999E-3</v>
      </c>
      <c r="P67" s="13">
        <f t="shared" si="0"/>
        <v>2.3373306659999998E-3</v>
      </c>
      <c r="Q67" s="14">
        <v>0.99804300000000001</v>
      </c>
      <c r="R67" s="14">
        <v>2.8779999999999999E-3</v>
      </c>
      <c r="S67" s="13">
        <f t="shared" si="6"/>
        <v>2.8723677539999998E-3</v>
      </c>
      <c r="T67" s="14">
        <v>1.7998130000000001</v>
      </c>
      <c r="U67" s="14">
        <v>1.4456E-2</v>
      </c>
      <c r="V67" s="13">
        <f t="shared" si="1"/>
        <v>2.6018096728000002E-2</v>
      </c>
      <c r="W67" s="14">
        <v>0.99888600000000005</v>
      </c>
      <c r="X67" s="14">
        <v>0.27172499999999999</v>
      </c>
      <c r="Y67" s="13">
        <f t="shared" si="2"/>
        <v>0.27142229835000004</v>
      </c>
      <c r="Z67" s="14">
        <f t="shared" si="3"/>
        <v>0.60626961419600001</v>
      </c>
    </row>
    <row r="68" spans="1:26" x14ac:dyDescent="0.7">
      <c r="A68" s="8">
        <v>31</v>
      </c>
      <c r="B68" s="9">
        <v>19000</v>
      </c>
      <c r="C68" s="15">
        <v>-13.020039966761439</v>
      </c>
      <c r="D68" s="10">
        <f t="shared" si="7"/>
        <v>-3.6895641433946729</v>
      </c>
      <c r="E68" s="10">
        <v>9.3304758233667666</v>
      </c>
      <c r="F68" s="12" t="s">
        <v>15</v>
      </c>
      <c r="G68" s="29" t="s">
        <v>22</v>
      </c>
      <c r="H68" s="12"/>
      <c r="I68" s="10"/>
      <c r="J68" s="12"/>
      <c r="K68" s="14">
        <v>1.4999260000000001</v>
      </c>
      <c r="L68" s="14">
        <v>0.203239</v>
      </c>
      <c r="M68" s="13">
        <f t="shared" si="5"/>
        <v>0.304843460314</v>
      </c>
      <c r="N68" s="14">
        <v>1.8007169999999999</v>
      </c>
      <c r="O68" s="14">
        <v>1.297E-3</v>
      </c>
      <c r="P68" s="13">
        <f t="shared" ref="P68" si="8">N68*O68</f>
        <v>2.3355299489999999E-3</v>
      </c>
      <c r="Q68" s="14">
        <v>0.99804300000000001</v>
      </c>
      <c r="R68" s="14">
        <v>2.8779999999999999E-3</v>
      </c>
      <c r="S68" s="13">
        <f t="shared" si="6"/>
        <v>2.8723677539999998E-3</v>
      </c>
      <c r="T68" s="14">
        <v>1.7998130000000001</v>
      </c>
      <c r="U68" s="14">
        <v>1.4448000000000001E-2</v>
      </c>
      <c r="V68" s="13">
        <f t="shared" ref="V68" si="9">T68*U68</f>
        <v>2.6003698224000001E-2</v>
      </c>
      <c r="W68" s="14">
        <v>0.99888600000000005</v>
      </c>
      <c r="X68" s="14">
        <v>0.27165899999999998</v>
      </c>
      <c r="Y68" s="13">
        <f t="shared" ref="Y68" si="10">W68*X68</f>
        <v>0.27135637187400002</v>
      </c>
      <c r="Z68" s="14">
        <f t="shared" ref="Z68" si="11">M68+P68+S68+V68+Y68</f>
        <v>0.60741142811500004</v>
      </c>
    </row>
    <row r="69" spans="1:26" x14ac:dyDescent="0.7">
      <c r="A69" s="8">
        <v>32</v>
      </c>
      <c r="B69" s="9">
        <v>19000</v>
      </c>
      <c r="C69" s="15">
        <v>-12.01370876676144</v>
      </c>
      <c r="D69" s="10">
        <f t="shared" si="7"/>
        <v>-3.4506006433946741</v>
      </c>
      <c r="E69" s="10">
        <v>8.5631081233667654</v>
      </c>
      <c r="F69" s="12" t="s">
        <v>15</v>
      </c>
      <c r="G69" s="29" t="s">
        <v>22</v>
      </c>
      <c r="H69" s="12"/>
      <c r="I69" s="10"/>
      <c r="J69" s="12"/>
      <c r="K69" s="14">
        <v>1.4999260000000001</v>
      </c>
      <c r="L69" s="14">
        <v>0.20405499999999999</v>
      </c>
      <c r="M69" s="13">
        <f t="shared" ref="M69" si="12">K69*L69</f>
        <v>0.30606739992999998</v>
      </c>
      <c r="N69" s="14">
        <v>1.8007169999999999</v>
      </c>
      <c r="O69" s="14">
        <v>1.2979999999999999E-3</v>
      </c>
      <c r="P69" s="13">
        <f t="shared" ref="P69" si="13">N69*O69</f>
        <v>2.3373306659999998E-3</v>
      </c>
      <c r="Q69" s="14">
        <v>0.99804300000000001</v>
      </c>
      <c r="R69" s="14">
        <v>2.879E-3</v>
      </c>
      <c r="S69" s="13">
        <f t="shared" ref="S69" si="14">Q69*R69</f>
        <v>2.873365797E-3</v>
      </c>
      <c r="T69" s="14">
        <v>1.7998130000000001</v>
      </c>
      <c r="U69" s="14">
        <v>1.4455000000000001E-2</v>
      </c>
      <c r="V69" s="13">
        <f t="shared" ref="V69" si="15">T69*U69</f>
        <v>2.6016296915000004E-2</v>
      </c>
      <c r="W69" s="14">
        <v>0.99888600000000005</v>
      </c>
      <c r="X69" s="14">
        <v>0.27172499999999999</v>
      </c>
      <c r="Y69" s="13">
        <f t="shared" ref="Y69" si="16">W69*X69</f>
        <v>0.27142229835000004</v>
      </c>
      <c r="Z69" s="14">
        <f t="shared" ref="Z69" si="17">M69+P69+S69+V69+Y69</f>
        <v>0.60871669165800002</v>
      </c>
    </row>
  </sheetData>
  <autoFilter ref="A1:Z68" xr:uid="{74515228-744A-4D2D-B3A5-0583E17F14D0}">
    <filterColumn colId="10" showButton="0"/>
    <filterColumn colId="11" showButton="0"/>
    <filterColumn colId="13" showButton="0"/>
    <filterColumn colId="14" showButton="0"/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</autoFilter>
  <mergeCells count="17">
    <mergeCell ref="N1:P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M1"/>
    <mergeCell ref="Q1:S1"/>
    <mergeCell ref="T1:V1"/>
    <mergeCell ref="W1:Y1"/>
    <mergeCell ref="Z1:Z2"/>
    <mergeCell ref="AB1:AM2"/>
  </mergeCells>
  <phoneticPr fontId="2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BC5B5-2307-4FDD-A713-5A35AAC113BD}">
  <sheetPr>
    <tabColor theme="0"/>
  </sheetPr>
  <dimension ref="B1:AF135"/>
  <sheetViews>
    <sheetView tabSelected="1" topLeftCell="A51" zoomScale="85" zoomScaleNormal="85" workbookViewId="0">
      <selection activeCell="N83" sqref="N83"/>
    </sheetView>
  </sheetViews>
  <sheetFormatPr defaultRowHeight="16.899999999999999" outlineLevelCol="1" x14ac:dyDescent="0.6"/>
  <cols>
    <col min="1" max="1" width="5.625" style="75" customWidth="1"/>
    <col min="2" max="2" width="10.75" style="75" customWidth="1"/>
    <col min="3" max="3" width="12.125" style="75" bestFit="1" customWidth="1"/>
    <col min="4" max="5" width="14.5" style="75" customWidth="1" outlineLevel="1"/>
    <col min="6" max="6" width="7.625" style="75" bestFit="1" customWidth="1"/>
    <col min="7" max="8" width="6.375" style="75" bestFit="1" customWidth="1"/>
    <col min="9" max="9" width="7.5" style="75" bestFit="1" customWidth="1"/>
    <col min="10" max="10" width="8.5" style="75" bestFit="1" customWidth="1"/>
    <col min="11" max="12" width="6.875" style="75" customWidth="1" outlineLevel="1"/>
    <col min="13" max="14" width="7.5" style="75" customWidth="1" outlineLevel="1"/>
    <col min="15" max="15" width="19.625" style="75" customWidth="1" outlineLevel="1"/>
    <col min="16" max="16" width="14.5" style="75" customWidth="1" outlineLevel="1"/>
    <col min="17" max="17" width="7.625" style="75" bestFit="1" customWidth="1"/>
    <col min="18" max="18" width="10.125" style="75" bestFit="1" customWidth="1"/>
    <col min="19" max="19" width="7.5" style="75" bestFit="1" customWidth="1"/>
    <col min="20" max="20" width="28" style="75" bestFit="1" customWidth="1"/>
    <col min="21" max="21" width="18.125" style="75" bestFit="1" customWidth="1"/>
    <col min="22" max="22" width="13" style="75" bestFit="1" customWidth="1"/>
    <col min="23" max="23" width="8.375" style="75" bestFit="1" customWidth="1"/>
    <col min="24" max="24" width="8.875" style="75" customWidth="1"/>
    <col min="25" max="27" width="6.375" style="75" bestFit="1" customWidth="1"/>
    <col min="28" max="30" width="6.875" style="75" bestFit="1" customWidth="1"/>
    <col min="31" max="31" width="15.5" style="75" bestFit="1" customWidth="1"/>
    <col min="32" max="32" width="21.875" style="75" bestFit="1" customWidth="1"/>
    <col min="33" max="33" width="10.625" style="75" bestFit="1" customWidth="1"/>
    <col min="34" max="34" width="9.25" style="75" bestFit="1" customWidth="1"/>
    <col min="35" max="35" width="12.5" style="75" bestFit="1" customWidth="1"/>
    <col min="36" max="36" width="11" style="75" bestFit="1" customWidth="1"/>
    <col min="37" max="37" width="7.25" style="75" bestFit="1" customWidth="1"/>
    <col min="38" max="38" width="10.625" style="75" bestFit="1" customWidth="1"/>
    <col min="39" max="39" width="10.5" style="75" bestFit="1" customWidth="1"/>
    <col min="40" max="40" width="12.5" style="75" bestFit="1" customWidth="1"/>
    <col min="41" max="16384" width="9" style="75"/>
  </cols>
  <sheetData>
    <row r="1" spans="2:31" hidden="1" x14ac:dyDescent="0.6">
      <c r="AD1" s="76"/>
      <c r="AE1" s="76"/>
    </row>
    <row r="2" spans="2:31" hidden="1" x14ac:dyDescent="0.6">
      <c r="B2" s="77" t="s">
        <v>44</v>
      </c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  <c r="W2" s="78"/>
      <c r="AD2" s="79"/>
      <c r="AE2" s="79"/>
    </row>
    <row r="3" spans="2:31" ht="50.65" hidden="1" x14ac:dyDescent="0.6">
      <c r="B3" s="80" t="s">
        <v>45</v>
      </c>
      <c r="C3" s="81">
        <v>1</v>
      </c>
      <c r="D3" s="81"/>
      <c r="E3" s="81"/>
      <c r="F3" s="81">
        <v>1.8</v>
      </c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2"/>
      <c r="AD3" s="79"/>
      <c r="AE3" s="79"/>
    </row>
    <row r="4" spans="2:31" hidden="1" x14ac:dyDescent="0.6">
      <c r="B4" s="81" t="s">
        <v>46</v>
      </c>
      <c r="C4" s="83">
        <v>14</v>
      </c>
      <c r="D4" s="83"/>
      <c r="E4" s="83"/>
      <c r="F4" s="83">
        <v>11.6</v>
      </c>
      <c r="G4" s="83"/>
      <c r="H4" s="83"/>
      <c r="I4" s="83"/>
      <c r="J4" s="83"/>
      <c r="K4" s="83"/>
      <c r="L4" s="83"/>
      <c r="M4" s="83"/>
      <c r="N4" s="83"/>
      <c r="O4" s="83"/>
      <c r="P4" s="83"/>
      <c r="Q4" s="83"/>
      <c r="R4" s="83"/>
      <c r="S4" s="83"/>
      <c r="T4" s="83"/>
      <c r="U4" s="83"/>
      <c r="V4" s="83"/>
      <c r="W4" s="84"/>
      <c r="AD4" s="79"/>
      <c r="AE4" s="79"/>
    </row>
    <row r="5" spans="2:31" hidden="1" x14ac:dyDescent="0.6">
      <c r="B5" s="81">
        <v>-5</v>
      </c>
      <c r="C5" s="83">
        <v>19</v>
      </c>
      <c r="D5" s="83"/>
      <c r="E5" s="83"/>
      <c r="F5" s="83">
        <v>11.1</v>
      </c>
      <c r="G5" s="83"/>
      <c r="H5" s="83"/>
      <c r="I5" s="83"/>
      <c r="J5" s="83"/>
      <c r="K5" s="83"/>
      <c r="L5" s="83"/>
      <c r="M5" s="83"/>
      <c r="N5" s="83"/>
      <c r="O5" s="83"/>
      <c r="P5" s="83"/>
      <c r="Q5" s="83"/>
      <c r="R5" s="83"/>
      <c r="S5" s="83"/>
      <c r="T5" s="83"/>
      <c r="U5" s="83"/>
      <c r="V5" s="83"/>
      <c r="W5" s="84"/>
      <c r="AD5" s="79"/>
      <c r="AE5" s="79"/>
    </row>
    <row r="6" spans="2:31" hidden="1" x14ac:dyDescent="0.6">
      <c r="B6" s="81">
        <v>0</v>
      </c>
      <c r="C6" s="83">
        <v>19</v>
      </c>
      <c r="D6" s="83"/>
      <c r="E6" s="83"/>
      <c r="F6" s="83">
        <v>11.3</v>
      </c>
      <c r="G6" s="83"/>
      <c r="H6" s="83"/>
      <c r="I6" s="83"/>
      <c r="J6" s="83"/>
      <c r="K6" s="83"/>
      <c r="L6" s="83"/>
      <c r="M6" s="83"/>
      <c r="N6" s="83"/>
      <c r="O6" s="83"/>
      <c r="P6" s="83"/>
      <c r="Q6" s="83"/>
      <c r="R6" s="83"/>
      <c r="S6" s="83"/>
      <c r="T6" s="83"/>
      <c r="U6" s="83"/>
      <c r="V6" s="83"/>
      <c r="W6" s="84"/>
      <c r="AD6" s="79"/>
      <c r="AE6" s="79"/>
    </row>
    <row r="7" spans="2:31" hidden="1" x14ac:dyDescent="0.6">
      <c r="B7" s="81">
        <v>5</v>
      </c>
      <c r="C7" s="83">
        <v>19</v>
      </c>
      <c r="D7" s="83"/>
      <c r="E7" s="83"/>
      <c r="F7" s="83">
        <v>11.3</v>
      </c>
      <c r="G7" s="83"/>
      <c r="H7" s="83"/>
      <c r="I7" s="83"/>
      <c r="J7" s="83"/>
      <c r="K7" s="83"/>
      <c r="L7" s="83"/>
      <c r="M7" s="83"/>
      <c r="N7" s="83"/>
      <c r="O7" s="83"/>
      <c r="P7" s="83"/>
      <c r="Q7" s="83"/>
      <c r="R7" s="83"/>
      <c r="S7" s="83"/>
      <c r="T7" s="83"/>
      <c r="U7" s="83"/>
      <c r="V7" s="83"/>
      <c r="W7" s="84"/>
      <c r="AD7" s="79"/>
      <c r="AE7" s="79"/>
    </row>
    <row r="8" spans="2:31" hidden="1" x14ac:dyDescent="0.6">
      <c r="B8" s="81">
        <v>10</v>
      </c>
      <c r="C8" s="83">
        <v>19</v>
      </c>
      <c r="D8" s="83"/>
      <c r="E8" s="83"/>
      <c r="F8" s="83">
        <v>11.3</v>
      </c>
      <c r="G8" s="83"/>
      <c r="H8" s="83"/>
      <c r="I8" s="83"/>
      <c r="J8" s="83"/>
      <c r="K8" s="83"/>
      <c r="L8" s="83"/>
      <c r="M8" s="83"/>
      <c r="N8" s="83"/>
      <c r="O8" s="83"/>
      <c r="P8" s="83"/>
      <c r="Q8" s="83"/>
      <c r="R8" s="83"/>
      <c r="S8" s="83"/>
      <c r="T8" s="83"/>
      <c r="U8" s="83"/>
      <c r="V8" s="83"/>
      <c r="W8" s="84"/>
      <c r="AD8" s="79"/>
      <c r="AE8" s="79"/>
    </row>
    <row r="9" spans="2:31" hidden="1" x14ac:dyDescent="0.6">
      <c r="B9" s="81">
        <v>15</v>
      </c>
      <c r="C9" s="83">
        <v>20</v>
      </c>
      <c r="D9" s="83"/>
      <c r="E9" s="83"/>
      <c r="F9" s="83">
        <v>11.4</v>
      </c>
      <c r="G9" s="83"/>
      <c r="H9" s="83"/>
      <c r="I9" s="83"/>
      <c r="J9" s="83"/>
      <c r="K9" s="83"/>
      <c r="L9" s="83"/>
      <c r="M9" s="83"/>
      <c r="N9" s="83"/>
      <c r="O9" s="83"/>
      <c r="P9" s="83"/>
      <c r="Q9" s="83"/>
      <c r="R9" s="83"/>
      <c r="S9" s="83"/>
      <c r="T9" s="83"/>
      <c r="U9" s="83"/>
      <c r="V9" s="83"/>
      <c r="W9" s="84"/>
      <c r="AD9" s="79"/>
      <c r="AE9" s="79"/>
    </row>
    <row r="10" spans="2:31" hidden="1" x14ac:dyDescent="0.6">
      <c r="AD10" s="79"/>
      <c r="AE10" s="79"/>
    </row>
    <row r="11" spans="2:31" hidden="1" x14ac:dyDescent="0.6">
      <c r="AD11" s="79"/>
      <c r="AE11" s="79"/>
    </row>
    <row r="12" spans="2:31" ht="17.25" hidden="1" thickBot="1" x14ac:dyDescent="0.65">
      <c r="B12" s="85" t="s">
        <v>47</v>
      </c>
      <c r="C12" s="86"/>
      <c r="D12" s="86"/>
      <c r="E12" s="86"/>
      <c r="F12" s="86"/>
      <c r="G12" s="86"/>
      <c r="H12" s="86"/>
      <c r="I12" s="86"/>
      <c r="J12" s="86"/>
      <c r="K12" s="86"/>
      <c r="L12" s="86"/>
      <c r="M12" s="86"/>
      <c r="N12" s="86"/>
      <c r="O12" s="86"/>
      <c r="P12" s="86"/>
      <c r="Q12" s="86"/>
      <c r="R12" s="86"/>
      <c r="S12" s="86"/>
      <c r="T12" s="86"/>
      <c r="U12" s="86"/>
      <c r="V12" s="86"/>
      <c r="W12" s="82"/>
      <c r="AD12" s="79"/>
      <c r="AE12" s="79"/>
    </row>
    <row r="13" spans="2:31" ht="17.25" hidden="1" thickBot="1" x14ac:dyDescent="0.65">
      <c r="B13" s="87" t="s">
        <v>48</v>
      </c>
      <c r="C13" s="88" t="s">
        <v>49</v>
      </c>
      <c r="D13" s="88"/>
      <c r="E13" s="88"/>
      <c r="F13" s="88" t="s">
        <v>50</v>
      </c>
      <c r="G13" s="89"/>
      <c r="H13" s="89"/>
      <c r="I13" s="89"/>
      <c r="J13" s="89"/>
      <c r="K13" s="89"/>
      <c r="L13" s="89"/>
      <c r="M13" s="89"/>
      <c r="N13" s="89"/>
      <c r="O13" s="89"/>
      <c r="P13" s="89"/>
      <c r="Q13" s="89"/>
      <c r="R13" s="89"/>
      <c r="S13" s="89"/>
      <c r="T13" s="89"/>
      <c r="U13" s="89"/>
      <c r="V13" s="89"/>
      <c r="W13" s="90"/>
      <c r="AD13" s="79"/>
      <c r="AE13" s="79"/>
    </row>
    <row r="14" spans="2:31" ht="17.25" hidden="1" thickBot="1" x14ac:dyDescent="0.65">
      <c r="B14" s="91">
        <v>14.4</v>
      </c>
      <c r="C14" s="92">
        <v>19</v>
      </c>
      <c r="D14" s="92"/>
      <c r="E14" s="92"/>
      <c r="F14" s="92">
        <v>22.1</v>
      </c>
      <c r="G14" s="92"/>
      <c r="H14" s="92"/>
      <c r="I14" s="92"/>
      <c r="J14" s="92"/>
      <c r="K14" s="92"/>
      <c r="L14" s="92"/>
      <c r="M14" s="92"/>
      <c r="N14" s="92"/>
      <c r="O14" s="92"/>
      <c r="P14" s="92"/>
      <c r="Q14" s="92"/>
      <c r="R14" s="92"/>
      <c r="S14" s="92"/>
      <c r="T14" s="92"/>
      <c r="U14" s="92"/>
      <c r="V14" s="92"/>
      <c r="W14" s="93"/>
      <c r="AD14" s="79"/>
      <c r="AE14" s="79"/>
    </row>
    <row r="15" spans="2:31" ht="16.5" customHeight="1" x14ac:dyDescent="0.6">
      <c r="G15" s="94">
        <v>1</v>
      </c>
      <c r="H15" s="94">
        <v>1.8</v>
      </c>
      <c r="I15" s="94">
        <v>4</v>
      </c>
    </row>
    <row r="16" spans="2:31" ht="16.5" customHeight="1" x14ac:dyDescent="0.6">
      <c r="G16" s="94"/>
      <c r="H16" s="94"/>
      <c r="I16" s="94"/>
    </row>
    <row r="17" spans="2:32" ht="16.5" customHeight="1" x14ac:dyDescent="0.6">
      <c r="G17" s="94"/>
      <c r="H17" s="94"/>
      <c r="I17" s="94"/>
    </row>
    <row r="18" spans="2:32" x14ac:dyDescent="0.6">
      <c r="B18" s="95" t="s">
        <v>76</v>
      </c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7"/>
      <c r="S18" s="98"/>
      <c r="T18" s="95" t="s">
        <v>51</v>
      </c>
      <c r="U18" s="96"/>
      <c r="V18" s="96"/>
      <c r="W18" s="97"/>
      <c r="Y18" s="99" t="s">
        <v>47</v>
      </c>
      <c r="Z18" s="100"/>
      <c r="AA18" s="100"/>
      <c r="AB18" s="100"/>
      <c r="AC18" s="100"/>
      <c r="AD18" s="100"/>
      <c r="AE18" s="100"/>
      <c r="AF18" s="100"/>
    </row>
    <row r="19" spans="2:32" ht="16.5" customHeight="1" x14ac:dyDescent="0.6">
      <c r="B19" s="101" t="s">
        <v>52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2"/>
      <c r="R19" s="103"/>
      <c r="S19" s="103"/>
      <c r="T19" s="104" t="s">
        <v>53</v>
      </c>
      <c r="U19" s="104" t="s">
        <v>54</v>
      </c>
      <c r="V19" s="105">
        <v>0.8</v>
      </c>
      <c r="W19" s="105"/>
      <c r="Y19" s="106"/>
      <c r="Z19" s="107"/>
      <c r="AA19" s="107"/>
      <c r="AB19" s="107"/>
      <c r="AC19" s="107"/>
      <c r="AD19" s="107"/>
      <c r="AE19" s="107"/>
      <c r="AF19" s="107"/>
    </row>
    <row r="20" spans="2:32" ht="33.75" x14ac:dyDescent="0.6">
      <c r="B20" s="108" t="s">
        <v>55</v>
      </c>
      <c r="C20" s="108" t="s">
        <v>56</v>
      </c>
      <c r="D20" s="108" t="s">
        <v>57</v>
      </c>
      <c r="E20" s="108" t="s">
        <v>58</v>
      </c>
      <c r="F20" s="108" t="s">
        <v>59</v>
      </c>
      <c r="G20" s="108" t="s">
        <v>60</v>
      </c>
      <c r="H20" s="108" t="s">
        <v>61</v>
      </c>
      <c r="I20" s="108" t="s">
        <v>62</v>
      </c>
      <c r="J20" s="108" t="s">
        <v>63</v>
      </c>
      <c r="K20" s="108" t="s">
        <v>64</v>
      </c>
      <c r="L20" s="108" t="s">
        <v>65</v>
      </c>
      <c r="M20" s="108" t="s">
        <v>66</v>
      </c>
      <c r="N20" s="108" t="s">
        <v>67</v>
      </c>
      <c r="O20" s="108" t="s">
        <v>68</v>
      </c>
      <c r="P20" s="108" t="s">
        <v>69</v>
      </c>
      <c r="Q20" s="108" t="s">
        <v>70</v>
      </c>
      <c r="R20" s="108" t="s">
        <v>71</v>
      </c>
      <c r="S20" s="108"/>
      <c r="T20" s="104" t="s">
        <v>25</v>
      </c>
      <c r="U20" s="104" t="s">
        <v>72</v>
      </c>
      <c r="V20" s="109" t="s">
        <v>77</v>
      </c>
      <c r="W20" s="109" t="s">
        <v>73</v>
      </c>
      <c r="Y20" s="108" t="s">
        <v>60</v>
      </c>
      <c r="Z20" s="108" t="s">
        <v>61</v>
      </c>
      <c r="AA20" s="108" t="s">
        <v>62</v>
      </c>
      <c r="AB20" s="104" t="s">
        <v>64</v>
      </c>
      <c r="AC20" s="104" t="s">
        <v>65</v>
      </c>
      <c r="AD20" s="104" t="s">
        <v>66</v>
      </c>
      <c r="AE20" s="110" t="s">
        <v>74</v>
      </c>
      <c r="AF20" s="110" t="s">
        <v>75</v>
      </c>
    </row>
    <row r="21" spans="2:32" x14ac:dyDescent="0.6">
      <c r="B21" s="111">
        <v>-70</v>
      </c>
      <c r="C21" s="119">
        <v>-46.742073059100001</v>
      </c>
      <c r="D21" s="81">
        <f t="shared" ref="D21:E36" si="0">10^(B21/10)</f>
        <v>9.9999999999999995E-8</v>
      </c>
      <c r="E21" s="81">
        <f t="shared" si="0"/>
        <v>2.1173501991065692E-5</v>
      </c>
      <c r="F21" s="81">
        <f t="shared" ref="F21:F71" si="1">C21-B21</f>
        <v>23.257926940899999</v>
      </c>
      <c r="G21" s="120">
        <v>41</v>
      </c>
      <c r="H21" s="120">
        <v>65.5</v>
      </c>
      <c r="I21" s="120">
        <v>7.5</v>
      </c>
      <c r="J21" s="81">
        <f t="shared" ref="J21:J71" si="2">SUM(G21:I21)</f>
        <v>114</v>
      </c>
      <c r="K21" s="112">
        <f t="shared" ref="K21:K71" si="3">G21*$G$15</f>
        <v>41</v>
      </c>
      <c r="L21" s="112">
        <f t="shared" ref="L21:L71" si="4">H21*$H$15</f>
        <v>117.9</v>
      </c>
      <c r="M21" s="112">
        <f t="shared" ref="M21:M71" si="5">I21*$I$15</f>
        <v>30</v>
      </c>
      <c r="N21" s="81">
        <f t="shared" ref="N21:N71" si="6">SUM(K21:M21)</f>
        <v>188.9</v>
      </c>
      <c r="O21" s="81">
        <f t="shared" ref="O21:O71" si="7">N21-$AE$21*7/8</f>
        <v>78.650000000000006</v>
      </c>
      <c r="P21" s="81">
        <f t="shared" ref="P21:P71" si="8">E21-D21</f>
        <v>2.1073501991065693E-5</v>
      </c>
      <c r="Q21" s="113">
        <f>P21/O21*100</f>
        <v>2.6794026689212575E-5</v>
      </c>
      <c r="R21" s="113">
        <f t="shared" ref="R21:R71" si="9">E21/O21*100</f>
        <v>2.6921172270903609E-5</v>
      </c>
      <c r="S21" s="81"/>
      <c r="T21" s="119">
        <v>-46.47438812</v>
      </c>
      <c r="U21" s="119">
        <v>18.756910925470795</v>
      </c>
      <c r="V21" s="114">
        <f>SQRT(U21^2-$V$19^2)</f>
        <v>18.739842781252079</v>
      </c>
      <c r="W21" s="121">
        <v>-11.464824676499999</v>
      </c>
      <c r="Y21" s="115">
        <v>5</v>
      </c>
      <c r="Z21" s="115">
        <v>35</v>
      </c>
      <c r="AA21" s="115">
        <v>7</v>
      </c>
      <c r="AB21" s="115">
        <f>Z21*G15</f>
        <v>35</v>
      </c>
      <c r="AC21" s="115">
        <f>Z21*H15</f>
        <v>63</v>
      </c>
      <c r="AD21" s="115">
        <f>AA21*I15</f>
        <v>28</v>
      </c>
      <c r="AE21" s="116">
        <f>SUM(AB21:AD21)</f>
        <v>126</v>
      </c>
      <c r="AF21" s="116">
        <f>SUM(Y21:AA21)</f>
        <v>47</v>
      </c>
    </row>
    <row r="22" spans="2:32" x14ac:dyDescent="0.6">
      <c r="B22" s="111">
        <v>-69</v>
      </c>
      <c r="C22" s="119">
        <v>-45.842369079599997</v>
      </c>
      <c r="D22" s="81">
        <f t="shared" si="0"/>
        <v>1.2589254117941651E-7</v>
      </c>
      <c r="E22" s="81">
        <f t="shared" si="0"/>
        <v>2.604732279003788E-5</v>
      </c>
      <c r="F22" s="81">
        <f t="shared" si="1"/>
        <v>23.157630920400003</v>
      </c>
      <c r="G22" s="120">
        <v>41</v>
      </c>
      <c r="H22" s="120">
        <v>65</v>
      </c>
      <c r="I22" s="120">
        <v>7.5</v>
      </c>
      <c r="J22" s="81">
        <f t="shared" si="2"/>
        <v>113.5</v>
      </c>
      <c r="K22" s="112">
        <f t="shared" si="3"/>
        <v>41</v>
      </c>
      <c r="L22" s="112">
        <f t="shared" si="4"/>
        <v>117</v>
      </c>
      <c r="M22" s="112">
        <f t="shared" si="5"/>
        <v>30</v>
      </c>
      <c r="N22" s="81">
        <f t="shared" si="6"/>
        <v>188</v>
      </c>
      <c r="O22" s="81">
        <f t="shared" si="7"/>
        <v>77.75</v>
      </c>
      <c r="P22" s="81">
        <f t="shared" si="8"/>
        <v>2.5921430248858464E-5</v>
      </c>
      <c r="Q22" s="113">
        <f t="shared" ref="Q22:Q71" si="10">P22/O22*100</f>
        <v>3.3339460127149151E-5</v>
      </c>
      <c r="R22" s="113">
        <f t="shared" si="9"/>
        <v>3.3501379794260938E-5</v>
      </c>
      <c r="S22" s="81"/>
      <c r="T22" s="119">
        <v>-45.526489259999998</v>
      </c>
      <c r="U22" s="119">
        <v>17.539850929739689</v>
      </c>
      <c r="V22" s="114">
        <f>SQRT(U22^2-$V$19^2)</f>
        <v>17.521597262735217</v>
      </c>
      <c r="W22" s="121">
        <v>-12.4013061523</v>
      </c>
      <c r="Y22" s="117"/>
      <c r="Z22" s="117"/>
      <c r="AA22" s="117"/>
      <c r="AB22" s="117"/>
      <c r="AC22" s="117"/>
      <c r="AD22" s="117"/>
    </row>
    <row r="23" spans="2:32" x14ac:dyDescent="0.6">
      <c r="B23" s="111">
        <v>-68</v>
      </c>
      <c r="C23" s="119">
        <v>-44.900180816700001</v>
      </c>
      <c r="D23" s="81">
        <f t="shared" si="0"/>
        <v>1.5848931924611122E-7</v>
      </c>
      <c r="E23" s="81">
        <f t="shared" si="0"/>
        <v>3.2358018452286327E-5</v>
      </c>
      <c r="F23" s="81">
        <f t="shared" si="1"/>
        <v>23.099819183299999</v>
      </c>
      <c r="G23" s="120">
        <v>41</v>
      </c>
      <c r="H23" s="120">
        <v>65</v>
      </c>
      <c r="I23" s="120">
        <v>7</v>
      </c>
      <c r="J23" s="81">
        <f t="shared" si="2"/>
        <v>113</v>
      </c>
      <c r="K23" s="112">
        <f t="shared" si="3"/>
        <v>41</v>
      </c>
      <c r="L23" s="112">
        <f t="shared" si="4"/>
        <v>117</v>
      </c>
      <c r="M23" s="112">
        <f t="shared" si="5"/>
        <v>28</v>
      </c>
      <c r="N23" s="81">
        <f t="shared" si="6"/>
        <v>186</v>
      </c>
      <c r="O23" s="81">
        <f t="shared" si="7"/>
        <v>75.75</v>
      </c>
      <c r="P23" s="81">
        <f t="shared" si="8"/>
        <v>3.2199529133040214E-5</v>
      </c>
      <c r="Q23" s="113">
        <f t="shared" si="10"/>
        <v>4.250762921853494E-5</v>
      </c>
      <c r="R23" s="113">
        <f t="shared" si="9"/>
        <v>4.2716856042622214E-5</v>
      </c>
      <c r="S23" s="81"/>
      <c r="T23" s="119">
        <v>-44.54228973</v>
      </c>
      <c r="U23" s="119">
        <v>16.498023827342507</v>
      </c>
      <c r="V23" s="114">
        <f>SQRT(U23^2-$V$19^2)</f>
        <v>16.478616149651678</v>
      </c>
      <c r="W23" s="121">
        <v>-13.3467903137</v>
      </c>
    </row>
    <row r="24" spans="2:32" x14ac:dyDescent="0.6">
      <c r="B24" s="111">
        <v>-67</v>
      </c>
      <c r="C24" s="119">
        <v>-44.056068420400003</v>
      </c>
      <c r="D24" s="81">
        <f t="shared" si="0"/>
        <v>1.9952623149688761E-7</v>
      </c>
      <c r="E24" s="81">
        <f t="shared" si="0"/>
        <v>3.9300054981335009E-5</v>
      </c>
      <c r="F24" s="81">
        <f t="shared" si="1"/>
        <v>22.943931579599997</v>
      </c>
      <c r="G24" s="120">
        <v>41</v>
      </c>
      <c r="H24" s="120">
        <v>65</v>
      </c>
      <c r="I24" s="120">
        <v>7.5</v>
      </c>
      <c r="J24" s="81">
        <f t="shared" si="2"/>
        <v>113.5</v>
      </c>
      <c r="K24" s="112">
        <f t="shared" si="3"/>
        <v>41</v>
      </c>
      <c r="L24" s="112">
        <f t="shared" si="4"/>
        <v>117</v>
      </c>
      <c r="M24" s="112">
        <f t="shared" si="5"/>
        <v>30</v>
      </c>
      <c r="N24" s="81">
        <f t="shared" si="6"/>
        <v>188</v>
      </c>
      <c r="O24" s="81">
        <f t="shared" si="7"/>
        <v>77.75</v>
      </c>
      <c r="P24" s="81">
        <f t="shared" si="8"/>
        <v>3.9100528749838125E-5</v>
      </c>
      <c r="Q24" s="113">
        <f t="shared" si="10"/>
        <v>5.0290069131624593E-5</v>
      </c>
      <c r="R24" s="113">
        <f t="shared" si="9"/>
        <v>5.0546694509755641E-5</v>
      </c>
      <c r="S24" s="81"/>
      <c r="T24" s="119">
        <v>-43.628730769999997</v>
      </c>
      <c r="U24" s="119">
        <v>15.558898082740615</v>
      </c>
      <c r="V24" s="114">
        <f>SQRT(U24^2-$V$19^2)</f>
        <v>15.538317461974756</v>
      </c>
      <c r="W24" s="121">
        <v>-14.277805328399999</v>
      </c>
    </row>
    <row r="25" spans="2:32" x14ac:dyDescent="0.6">
      <c r="B25" s="111">
        <v>-66</v>
      </c>
      <c r="C25" s="119">
        <v>-42.8802070618</v>
      </c>
      <c r="D25" s="81">
        <f t="shared" si="0"/>
        <v>2.511886431509578E-7</v>
      </c>
      <c r="E25" s="81">
        <f t="shared" si="0"/>
        <v>5.1520408022926862E-5</v>
      </c>
      <c r="F25" s="81">
        <f t="shared" si="1"/>
        <v>23.1197929382</v>
      </c>
      <c r="G25" s="120">
        <v>41</v>
      </c>
      <c r="H25" s="120">
        <v>65</v>
      </c>
      <c r="I25" s="120">
        <v>7.5</v>
      </c>
      <c r="J25" s="81">
        <f t="shared" si="2"/>
        <v>113.5</v>
      </c>
      <c r="K25" s="112">
        <f t="shared" si="3"/>
        <v>41</v>
      </c>
      <c r="L25" s="112">
        <f t="shared" si="4"/>
        <v>117</v>
      </c>
      <c r="M25" s="112">
        <f t="shared" si="5"/>
        <v>30</v>
      </c>
      <c r="N25" s="81">
        <f t="shared" si="6"/>
        <v>188</v>
      </c>
      <c r="O25" s="81">
        <f t="shared" si="7"/>
        <v>77.75</v>
      </c>
      <c r="P25" s="81">
        <f t="shared" si="8"/>
        <v>5.1269219379775901E-5</v>
      </c>
      <c r="Q25" s="113">
        <f t="shared" si="10"/>
        <v>6.5941118173345212E-5</v>
      </c>
      <c r="R25" s="113">
        <f t="shared" si="9"/>
        <v>6.6264190383185672E-5</v>
      </c>
      <c r="S25" s="81"/>
      <c r="T25" s="119">
        <v>-42.67486572</v>
      </c>
      <c r="U25" s="119">
        <v>14.556313971406931</v>
      </c>
      <c r="V25" s="114">
        <f>SQRT(U25^2-$V$19^2)</f>
        <v>14.534313758625711</v>
      </c>
      <c r="W25" s="121">
        <v>-15.2799606323</v>
      </c>
    </row>
    <row r="26" spans="2:32" x14ac:dyDescent="0.6">
      <c r="B26" s="111">
        <v>-65</v>
      </c>
      <c r="C26" s="119">
        <v>-42.157245635999999</v>
      </c>
      <c r="D26" s="81">
        <f t="shared" si="0"/>
        <v>3.1622776601683734E-7</v>
      </c>
      <c r="E26" s="81">
        <f t="shared" si="0"/>
        <v>6.0852081240468237E-5</v>
      </c>
      <c r="F26" s="81">
        <f t="shared" si="1"/>
        <v>22.842754364000001</v>
      </c>
      <c r="G26" s="120">
        <v>41</v>
      </c>
      <c r="H26" s="120">
        <v>65</v>
      </c>
      <c r="I26" s="120">
        <v>7.5</v>
      </c>
      <c r="J26" s="81">
        <f t="shared" si="2"/>
        <v>113.5</v>
      </c>
      <c r="K26" s="112">
        <f t="shared" si="3"/>
        <v>41</v>
      </c>
      <c r="L26" s="112">
        <f t="shared" si="4"/>
        <v>117</v>
      </c>
      <c r="M26" s="112">
        <f t="shared" si="5"/>
        <v>30</v>
      </c>
      <c r="N26" s="81">
        <f t="shared" si="6"/>
        <v>188</v>
      </c>
      <c r="O26" s="81">
        <f t="shared" si="7"/>
        <v>77.75</v>
      </c>
      <c r="P26" s="81">
        <f t="shared" si="8"/>
        <v>6.05358534744514E-5</v>
      </c>
      <c r="Q26" s="113">
        <f t="shared" si="10"/>
        <v>7.7859618616657751E-5</v>
      </c>
      <c r="R26" s="113">
        <f t="shared" si="9"/>
        <v>7.8266342431470399E-5</v>
      </c>
      <c r="S26" s="81"/>
      <c r="T26" s="119">
        <v>-41.637359619999998</v>
      </c>
      <c r="U26" s="119">
        <v>13.519690776517409</v>
      </c>
      <c r="V26" s="114">
        <f>SQRT(U26^2-$V$19^2)</f>
        <v>13.49600084071759</v>
      </c>
      <c r="W26" s="121">
        <v>-16.266456603999998</v>
      </c>
    </row>
    <row r="27" spans="2:32" x14ac:dyDescent="0.6">
      <c r="B27" s="111">
        <v>-64</v>
      </c>
      <c r="C27" s="119">
        <v>-41.067066192600002</v>
      </c>
      <c r="D27" s="81">
        <f t="shared" si="0"/>
        <v>3.9810717055349618E-7</v>
      </c>
      <c r="E27" s="81">
        <f t="shared" si="0"/>
        <v>7.8215599922495452E-5</v>
      </c>
      <c r="F27" s="81">
        <f t="shared" si="1"/>
        <v>22.932933807399998</v>
      </c>
      <c r="G27" s="120">
        <v>41</v>
      </c>
      <c r="H27" s="120">
        <v>65</v>
      </c>
      <c r="I27" s="120">
        <v>7.5</v>
      </c>
      <c r="J27" s="81">
        <f t="shared" si="2"/>
        <v>113.5</v>
      </c>
      <c r="K27" s="112">
        <f t="shared" si="3"/>
        <v>41</v>
      </c>
      <c r="L27" s="112">
        <f t="shared" si="4"/>
        <v>117</v>
      </c>
      <c r="M27" s="112">
        <f t="shared" si="5"/>
        <v>30</v>
      </c>
      <c r="N27" s="81">
        <f t="shared" si="6"/>
        <v>188</v>
      </c>
      <c r="O27" s="81">
        <f t="shared" si="7"/>
        <v>77.75</v>
      </c>
      <c r="P27" s="81">
        <f t="shared" si="8"/>
        <v>7.7817492751941955E-5</v>
      </c>
      <c r="Q27" s="113">
        <f t="shared" si="10"/>
        <v>1.0008680739799609E-4</v>
      </c>
      <c r="R27" s="113">
        <f t="shared" si="9"/>
        <v>1.0059884234404559E-4</v>
      </c>
      <c r="S27" s="81"/>
      <c r="T27" s="119">
        <v>-40.690650939999998</v>
      </c>
      <c r="U27" s="119">
        <v>12.531586537626357</v>
      </c>
      <c r="V27" s="114">
        <f>SQRT(U27^2-$V$19^2)</f>
        <v>12.506024993978629</v>
      </c>
      <c r="W27" s="121">
        <v>-17.273830413799999</v>
      </c>
    </row>
    <row r="28" spans="2:32" x14ac:dyDescent="0.6">
      <c r="B28" s="111">
        <v>-63</v>
      </c>
      <c r="C28" s="119">
        <v>-40.071559905999997</v>
      </c>
      <c r="D28" s="81">
        <f t="shared" si="0"/>
        <v>5.0118723362727218E-7</v>
      </c>
      <c r="E28" s="81">
        <f t="shared" si="0"/>
        <v>9.8365773051477322E-5</v>
      </c>
      <c r="F28" s="81">
        <f t="shared" si="1"/>
        <v>22.928440094000003</v>
      </c>
      <c r="G28" s="120">
        <v>41</v>
      </c>
      <c r="H28" s="120">
        <v>65</v>
      </c>
      <c r="I28" s="120">
        <v>7.5</v>
      </c>
      <c r="J28" s="81">
        <f t="shared" si="2"/>
        <v>113.5</v>
      </c>
      <c r="K28" s="112">
        <f t="shared" si="3"/>
        <v>41</v>
      </c>
      <c r="L28" s="112">
        <f t="shared" si="4"/>
        <v>117</v>
      </c>
      <c r="M28" s="112">
        <f t="shared" si="5"/>
        <v>30</v>
      </c>
      <c r="N28" s="81">
        <f t="shared" si="6"/>
        <v>188</v>
      </c>
      <c r="O28" s="81">
        <f t="shared" si="7"/>
        <v>77.75</v>
      </c>
      <c r="P28" s="81">
        <f t="shared" si="8"/>
        <v>9.786458581785005E-5</v>
      </c>
      <c r="Q28" s="113">
        <f t="shared" si="10"/>
        <v>1.2587084992649524E-4</v>
      </c>
      <c r="R28" s="113">
        <f t="shared" si="9"/>
        <v>1.2651546373180364E-4</v>
      </c>
      <c r="S28" s="81"/>
      <c r="T28" s="119">
        <v>-39.676803589999999</v>
      </c>
      <c r="U28" s="119">
        <v>11.466651343660624</v>
      </c>
      <c r="V28" s="114">
        <f>SQRT(U28^2-$V$19^2)</f>
        <v>11.438710287312727</v>
      </c>
      <c r="W28" s="121">
        <v>-18.249694824199999</v>
      </c>
    </row>
    <row r="29" spans="2:32" x14ac:dyDescent="0.6">
      <c r="B29" s="111">
        <v>-62</v>
      </c>
      <c r="C29" s="119">
        <v>-39.189029693599998</v>
      </c>
      <c r="D29" s="81">
        <f t="shared" si="0"/>
        <v>6.3095734448019254E-7</v>
      </c>
      <c r="E29" s="81">
        <f t="shared" si="0"/>
        <v>1.2053052011526175E-4</v>
      </c>
      <c r="F29" s="81">
        <f t="shared" si="1"/>
        <v>22.810970306400002</v>
      </c>
      <c r="G29" s="120">
        <v>41</v>
      </c>
      <c r="H29" s="120">
        <v>65</v>
      </c>
      <c r="I29" s="120">
        <v>7.5</v>
      </c>
      <c r="J29" s="81">
        <f t="shared" si="2"/>
        <v>113.5</v>
      </c>
      <c r="K29" s="112">
        <f t="shared" si="3"/>
        <v>41</v>
      </c>
      <c r="L29" s="112">
        <f t="shared" si="4"/>
        <v>117</v>
      </c>
      <c r="M29" s="112">
        <f t="shared" si="5"/>
        <v>30</v>
      </c>
      <c r="N29" s="81">
        <f t="shared" si="6"/>
        <v>188</v>
      </c>
      <c r="O29" s="81">
        <f t="shared" si="7"/>
        <v>77.75</v>
      </c>
      <c r="P29" s="81">
        <f t="shared" si="8"/>
        <v>1.1989956277078155E-4</v>
      </c>
      <c r="Q29" s="113">
        <f t="shared" si="10"/>
        <v>1.5421165629682517E-4</v>
      </c>
      <c r="R29" s="113">
        <f t="shared" si="9"/>
        <v>1.5502317699712121E-4</v>
      </c>
      <c r="S29" s="81"/>
      <c r="T29" s="119">
        <v>-39.517562869999999</v>
      </c>
      <c r="U29" s="119">
        <v>10.941246221642832</v>
      </c>
      <c r="V29" s="114">
        <f>SQRT(U29^2-$V$19^2)</f>
        <v>10.911959901072471</v>
      </c>
      <c r="W29" s="121">
        <v>-19.1842193604</v>
      </c>
    </row>
    <row r="30" spans="2:32" x14ac:dyDescent="0.6">
      <c r="B30" s="111">
        <v>-61</v>
      </c>
      <c r="C30" s="119">
        <v>-38.093090057399998</v>
      </c>
      <c r="D30" s="81">
        <f t="shared" si="0"/>
        <v>7.9432823472428114E-7</v>
      </c>
      <c r="E30" s="81">
        <f t="shared" si="0"/>
        <v>1.5512828608097102E-4</v>
      </c>
      <c r="F30" s="81">
        <f t="shared" si="1"/>
        <v>22.906909942600002</v>
      </c>
      <c r="G30" s="120">
        <v>41</v>
      </c>
      <c r="H30" s="120">
        <v>65</v>
      </c>
      <c r="I30" s="120">
        <v>7.5</v>
      </c>
      <c r="J30" s="81">
        <f t="shared" si="2"/>
        <v>113.5</v>
      </c>
      <c r="K30" s="112">
        <f t="shared" si="3"/>
        <v>41</v>
      </c>
      <c r="L30" s="112">
        <f t="shared" si="4"/>
        <v>117</v>
      </c>
      <c r="M30" s="112">
        <f t="shared" si="5"/>
        <v>30</v>
      </c>
      <c r="N30" s="81">
        <f t="shared" si="6"/>
        <v>188</v>
      </c>
      <c r="O30" s="81">
        <f t="shared" si="7"/>
        <v>77.75</v>
      </c>
      <c r="P30" s="81">
        <f t="shared" si="8"/>
        <v>1.5433395784624672E-4</v>
      </c>
      <c r="Q30" s="113">
        <f t="shared" si="10"/>
        <v>1.9850026732636235E-4</v>
      </c>
      <c r="R30" s="113">
        <f t="shared" si="9"/>
        <v>1.9952191135816209E-4</v>
      </c>
      <c r="S30" s="81"/>
      <c r="T30" s="119">
        <v>-38.43677521</v>
      </c>
      <c r="U30" s="119">
        <v>9.8493535373469179</v>
      </c>
      <c r="V30" s="114">
        <f>SQRT(U30^2-$V$19^2)</f>
        <v>9.8168103324678864</v>
      </c>
      <c r="W30" s="121">
        <v>-20.164112091100002</v>
      </c>
    </row>
    <row r="31" spans="2:32" x14ac:dyDescent="0.6">
      <c r="B31" s="111">
        <v>-60</v>
      </c>
      <c r="C31" s="119">
        <v>-37.201637268100001</v>
      </c>
      <c r="D31" s="81">
        <f t="shared" si="0"/>
        <v>9.9999999999999995E-7</v>
      </c>
      <c r="E31" s="81">
        <f t="shared" si="0"/>
        <v>1.9047425043574437E-4</v>
      </c>
      <c r="F31" s="81">
        <f t="shared" si="1"/>
        <v>22.798362731899999</v>
      </c>
      <c r="G31" s="120">
        <v>41</v>
      </c>
      <c r="H31" s="120">
        <v>65</v>
      </c>
      <c r="I31" s="120">
        <v>7.5</v>
      </c>
      <c r="J31" s="81">
        <f t="shared" si="2"/>
        <v>113.5</v>
      </c>
      <c r="K31" s="112">
        <f t="shared" si="3"/>
        <v>41</v>
      </c>
      <c r="L31" s="112">
        <f t="shared" si="4"/>
        <v>117</v>
      </c>
      <c r="M31" s="112">
        <f t="shared" si="5"/>
        <v>30</v>
      </c>
      <c r="N31" s="81">
        <f t="shared" si="6"/>
        <v>188</v>
      </c>
      <c r="O31" s="81">
        <f t="shared" si="7"/>
        <v>77.75</v>
      </c>
      <c r="P31" s="81">
        <f t="shared" si="8"/>
        <v>1.8947425043574438E-4</v>
      </c>
      <c r="Q31" s="113">
        <f t="shared" si="10"/>
        <v>2.4369678512635933E-4</v>
      </c>
      <c r="R31" s="113">
        <f t="shared" si="9"/>
        <v>2.4498295875979983E-4</v>
      </c>
      <c r="S31" s="81"/>
      <c r="T31" s="119">
        <v>-37.410118099999998</v>
      </c>
      <c r="U31" s="119">
        <v>8.805049615246304</v>
      </c>
      <c r="V31" s="114">
        <f>SQRT(U31^2-$V$19^2)</f>
        <v>8.7686315196243179</v>
      </c>
      <c r="W31" s="121">
        <v>-21.198204040499999</v>
      </c>
    </row>
    <row r="32" spans="2:32" x14ac:dyDescent="0.6">
      <c r="B32" s="111">
        <v>-59</v>
      </c>
      <c r="C32" s="119">
        <v>-36.122982025100001</v>
      </c>
      <c r="D32" s="81">
        <f t="shared" si="0"/>
        <v>1.2589254117941642E-6</v>
      </c>
      <c r="E32" s="81">
        <f t="shared" si="0"/>
        <v>2.4417533795846125E-4</v>
      </c>
      <c r="F32" s="81">
        <f t="shared" si="1"/>
        <v>22.877017974899999</v>
      </c>
      <c r="G32" s="120">
        <v>41</v>
      </c>
      <c r="H32" s="120">
        <v>65</v>
      </c>
      <c r="I32" s="120">
        <v>7.5</v>
      </c>
      <c r="J32" s="81">
        <f t="shared" si="2"/>
        <v>113.5</v>
      </c>
      <c r="K32" s="112">
        <f t="shared" si="3"/>
        <v>41</v>
      </c>
      <c r="L32" s="112">
        <f t="shared" si="4"/>
        <v>117</v>
      </c>
      <c r="M32" s="112">
        <f t="shared" si="5"/>
        <v>30</v>
      </c>
      <c r="N32" s="81">
        <f t="shared" si="6"/>
        <v>188</v>
      </c>
      <c r="O32" s="81">
        <f t="shared" si="7"/>
        <v>77.75</v>
      </c>
      <c r="P32" s="81">
        <f t="shared" si="8"/>
        <v>2.4291641254666708E-4</v>
      </c>
      <c r="Q32" s="113">
        <f t="shared" si="10"/>
        <v>3.1243268494748178E-4</v>
      </c>
      <c r="R32" s="113">
        <f t="shared" si="9"/>
        <v>3.1405188161859972E-4</v>
      </c>
      <c r="S32" s="81"/>
      <c r="T32" s="119">
        <v>-36.983230589999998</v>
      </c>
      <c r="U32" s="119">
        <v>8.355847207441057</v>
      </c>
      <c r="V32" s="114">
        <f>SQRT(U32^2-$V$19^2)</f>
        <v>8.3174625069248442</v>
      </c>
      <c r="W32" s="121">
        <v>-22.182643890400001</v>
      </c>
    </row>
    <row r="33" spans="2:23" x14ac:dyDescent="0.6">
      <c r="B33" s="111">
        <v>-58</v>
      </c>
      <c r="C33" s="119">
        <v>-35.143318176299999</v>
      </c>
      <c r="D33" s="81">
        <f t="shared" si="0"/>
        <v>1.5848931924611111E-6</v>
      </c>
      <c r="E33" s="81">
        <f t="shared" si="0"/>
        <v>3.059624869757083E-4</v>
      </c>
      <c r="F33" s="81">
        <f t="shared" si="1"/>
        <v>22.856681823700001</v>
      </c>
      <c r="G33" s="120">
        <v>41</v>
      </c>
      <c r="H33" s="120">
        <v>65</v>
      </c>
      <c r="I33" s="120">
        <v>7.5</v>
      </c>
      <c r="J33" s="81">
        <f t="shared" si="2"/>
        <v>113.5</v>
      </c>
      <c r="K33" s="112">
        <f t="shared" si="3"/>
        <v>41</v>
      </c>
      <c r="L33" s="112">
        <f t="shared" si="4"/>
        <v>117</v>
      </c>
      <c r="M33" s="112">
        <f t="shared" si="5"/>
        <v>30</v>
      </c>
      <c r="N33" s="81">
        <f t="shared" si="6"/>
        <v>188</v>
      </c>
      <c r="O33" s="81">
        <f t="shared" si="7"/>
        <v>77.75</v>
      </c>
      <c r="P33" s="81">
        <f t="shared" si="8"/>
        <v>3.0437759378324717E-4</v>
      </c>
      <c r="Q33" s="113">
        <f t="shared" si="10"/>
        <v>3.9148243573407997E-4</v>
      </c>
      <c r="R33" s="113">
        <f t="shared" si="9"/>
        <v>3.9352088357004283E-4</v>
      </c>
      <c r="S33" s="81"/>
      <c r="T33" s="119">
        <v>-35.972724909999997</v>
      </c>
      <c r="U33" s="119">
        <v>7.5088255391328556</v>
      </c>
      <c r="V33" s="114">
        <f>SQRT(U33^2-$V$19^2)</f>
        <v>7.4660873941532335</v>
      </c>
      <c r="W33" s="121">
        <v>-23.2004852295</v>
      </c>
    </row>
    <row r="34" spans="2:23" x14ac:dyDescent="0.6">
      <c r="B34" s="111">
        <v>-57</v>
      </c>
      <c r="C34" s="119">
        <v>-34.2127075195</v>
      </c>
      <c r="D34" s="81">
        <f t="shared" si="0"/>
        <v>1.9952623149688749E-6</v>
      </c>
      <c r="E34" s="81">
        <f t="shared" si="0"/>
        <v>3.7907858255644897E-4</v>
      </c>
      <c r="F34" s="81">
        <f t="shared" si="1"/>
        <v>22.7872924805</v>
      </c>
      <c r="G34" s="120">
        <v>41</v>
      </c>
      <c r="H34" s="120">
        <v>65.5</v>
      </c>
      <c r="I34" s="120">
        <v>7.5</v>
      </c>
      <c r="J34" s="81">
        <f t="shared" si="2"/>
        <v>114</v>
      </c>
      <c r="K34" s="112">
        <f t="shared" si="3"/>
        <v>41</v>
      </c>
      <c r="L34" s="112">
        <f t="shared" si="4"/>
        <v>117.9</v>
      </c>
      <c r="M34" s="112">
        <f t="shared" si="5"/>
        <v>30</v>
      </c>
      <c r="N34" s="81">
        <f t="shared" si="6"/>
        <v>188.9</v>
      </c>
      <c r="O34" s="81">
        <f t="shared" si="7"/>
        <v>78.650000000000006</v>
      </c>
      <c r="P34" s="81">
        <f t="shared" si="8"/>
        <v>3.770833202414801E-4</v>
      </c>
      <c r="Q34" s="113">
        <f t="shared" si="10"/>
        <v>4.7944478098090287E-4</v>
      </c>
      <c r="R34" s="113">
        <f t="shared" si="9"/>
        <v>4.8198166885753206E-4</v>
      </c>
      <c r="S34" s="81"/>
      <c r="T34" s="119">
        <v>-35.024444580000001</v>
      </c>
      <c r="U34" s="119">
        <v>6.7773577275460157</v>
      </c>
      <c r="V34" s="114">
        <f>SQRT(U34^2-$V$19^2)</f>
        <v>6.7299760599223308</v>
      </c>
      <c r="W34" s="121">
        <v>-24.127887725800001</v>
      </c>
    </row>
    <row r="35" spans="2:23" x14ac:dyDescent="0.6">
      <c r="B35" s="111">
        <v>-56</v>
      </c>
      <c r="C35" s="119">
        <v>-33.0759887695</v>
      </c>
      <c r="D35" s="81">
        <f t="shared" si="0"/>
        <v>2.5118864315095806E-6</v>
      </c>
      <c r="E35" s="81">
        <f t="shared" si="0"/>
        <v>4.9249420315309765E-4</v>
      </c>
      <c r="F35" s="81">
        <f t="shared" si="1"/>
        <v>22.9240112305</v>
      </c>
      <c r="G35" s="120">
        <v>41</v>
      </c>
      <c r="H35" s="120">
        <v>65</v>
      </c>
      <c r="I35" s="120">
        <v>7.5</v>
      </c>
      <c r="J35" s="81">
        <f t="shared" si="2"/>
        <v>113.5</v>
      </c>
      <c r="K35" s="112">
        <f t="shared" si="3"/>
        <v>41</v>
      </c>
      <c r="L35" s="112">
        <f t="shared" si="4"/>
        <v>117</v>
      </c>
      <c r="M35" s="112">
        <f t="shared" si="5"/>
        <v>30</v>
      </c>
      <c r="N35" s="81">
        <f t="shared" si="6"/>
        <v>188</v>
      </c>
      <c r="O35" s="81">
        <f t="shared" si="7"/>
        <v>77.75</v>
      </c>
      <c r="P35" s="81">
        <f t="shared" si="8"/>
        <v>4.8998231672158811E-4</v>
      </c>
      <c r="Q35" s="113">
        <f t="shared" si="10"/>
        <v>6.3020233661940591E-4</v>
      </c>
      <c r="R35" s="113">
        <f t="shared" si="9"/>
        <v>6.3343305871781043E-4</v>
      </c>
      <c r="S35" s="81"/>
      <c r="T35" s="119">
        <v>-34.02300262</v>
      </c>
      <c r="U35" s="119">
        <v>6.1636765462929946</v>
      </c>
      <c r="V35" s="114">
        <f>SQRT(U35^2-$V$19^2)</f>
        <v>6.1115389688132016</v>
      </c>
      <c r="W35" s="121">
        <v>-25.117771148700001</v>
      </c>
    </row>
    <row r="36" spans="2:23" x14ac:dyDescent="0.6">
      <c r="B36" s="122">
        <v>-55</v>
      </c>
      <c r="C36" s="119">
        <v>-32.182842254599997</v>
      </c>
      <c r="D36" s="81">
        <f t="shared" si="0"/>
        <v>3.1622776601683767E-6</v>
      </c>
      <c r="E36" s="81">
        <f t="shared" si="0"/>
        <v>6.0494483702465624E-4</v>
      </c>
      <c r="F36" s="81">
        <f t="shared" si="1"/>
        <v>22.817157745400003</v>
      </c>
      <c r="G36" s="120">
        <v>41</v>
      </c>
      <c r="H36" s="120">
        <v>65</v>
      </c>
      <c r="I36" s="120">
        <v>7.5</v>
      </c>
      <c r="J36" s="81">
        <f t="shared" si="2"/>
        <v>113.5</v>
      </c>
      <c r="K36" s="112">
        <f t="shared" si="3"/>
        <v>41</v>
      </c>
      <c r="L36" s="112">
        <f t="shared" si="4"/>
        <v>117</v>
      </c>
      <c r="M36" s="112">
        <f t="shared" si="5"/>
        <v>30</v>
      </c>
      <c r="N36" s="81">
        <f t="shared" si="6"/>
        <v>188</v>
      </c>
      <c r="O36" s="81">
        <f t="shared" si="7"/>
        <v>77.75</v>
      </c>
      <c r="P36" s="81">
        <f t="shared" si="8"/>
        <v>6.0178255936448781E-4</v>
      </c>
      <c r="Q36" s="113">
        <f t="shared" si="10"/>
        <v>7.7399686091895548E-4</v>
      </c>
      <c r="R36" s="113">
        <f t="shared" si="9"/>
        <v>7.7806409906708198E-4</v>
      </c>
      <c r="S36" s="81"/>
      <c r="T36" s="119">
        <v>-33.070236209999997</v>
      </c>
      <c r="U36" s="119">
        <v>5.4903446735543593</v>
      </c>
      <c r="V36" s="114">
        <f>SQRT(U36^2-$V$19^2)</f>
        <v>5.4317478434134552</v>
      </c>
      <c r="W36" s="121">
        <v>-26.102506637600001</v>
      </c>
    </row>
    <row r="37" spans="2:23" ht="16.5" customHeight="1" x14ac:dyDescent="0.6">
      <c r="B37" s="111">
        <v>-54</v>
      </c>
      <c r="C37" s="119">
        <v>-31.140741348300001</v>
      </c>
      <c r="D37" s="81">
        <f t="shared" ref="D37:E71" si="11">10^(B37/10)</f>
        <v>3.9810717055349657E-6</v>
      </c>
      <c r="E37" s="81">
        <f t="shared" si="11"/>
        <v>7.6899915957630966E-4</v>
      </c>
      <c r="F37" s="81">
        <f t="shared" si="1"/>
        <v>22.859258651699999</v>
      </c>
      <c r="G37" s="120">
        <v>41</v>
      </c>
      <c r="H37" s="120">
        <v>64.5</v>
      </c>
      <c r="I37" s="120">
        <v>7.5</v>
      </c>
      <c r="J37" s="81">
        <f t="shared" si="2"/>
        <v>113</v>
      </c>
      <c r="K37" s="112">
        <f t="shared" si="3"/>
        <v>41</v>
      </c>
      <c r="L37" s="112">
        <f t="shared" si="4"/>
        <v>116.10000000000001</v>
      </c>
      <c r="M37" s="112">
        <f t="shared" si="5"/>
        <v>30</v>
      </c>
      <c r="N37" s="81">
        <f t="shared" si="6"/>
        <v>187.10000000000002</v>
      </c>
      <c r="O37" s="81">
        <f>N37-$AE$21*7/8</f>
        <v>76.850000000000023</v>
      </c>
      <c r="P37" s="81">
        <f t="shared" si="8"/>
        <v>7.6501808787077469E-4</v>
      </c>
      <c r="Q37" s="113">
        <f t="shared" si="10"/>
        <v>9.9546920998148914E-4</v>
      </c>
      <c r="R37" s="113">
        <f t="shared" si="9"/>
        <v>1.0006495244974749E-3</v>
      </c>
      <c r="S37" s="81"/>
      <c r="T37" s="119">
        <v>-32.060741419999999</v>
      </c>
      <c r="U37" s="119">
        <v>5.064892102376179</v>
      </c>
      <c r="V37" s="114">
        <f>SQRT(U37^2-$V$19^2)</f>
        <v>5.0013130284668836</v>
      </c>
      <c r="W37" s="121">
        <v>-27.137058258100001</v>
      </c>
    </row>
    <row r="38" spans="2:23" x14ac:dyDescent="0.6">
      <c r="B38" s="111">
        <v>-53</v>
      </c>
      <c r="C38" s="119">
        <v>-30.1320419312</v>
      </c>
      <c r="D38" s="81">
        <f t="shared" si="11"/>
        <v>5.011872336272719E-6</v>
      </c>
      <c r="E38" s="81">
        <f t="shared" si="11"/>
        <v>9.7005376785447577E-4</v>
      </c>
      <c r="F38" s="81">
        <f t="shared" si="1"/>
        <v>22.8679580688</v>
      </c>
      <c r="G38" s="120">
        <v>41</v>
      </c>
      <c r="H38" s="120">
        <v>65</v>
      </c>
      <c r="I38" s="120">
        <v>7.5</v>
      </c>
      <c r="J38" s="81">
        <f t="shared" si="2"/>
        <v>113.5</v>
      </c>
      <c r="K38" s="112">
        <f t="shared" si="3"/>
        <v>41</v>
      </c>
      <c r="L38" s="112">
        <f t="shared" si="4"/>
        <v>117</v>
      </c>
      <c r="M38" s="112">
        <f t="shared" si="5"/>
        <v>30</v>
      </c>
      <c r="N38" s="81">
        <f t="shared" si="6"/>
        <v>188</v>
      </c>
      <c r="O38" s="81">
        <f t="shared" si="7"/>
        <v>77.75</v>
      </c>
      <c r="P38" s="81">
        <f t="shared" si="8"/>
        <v>9.6504189551820303E-4</v>
      </c>
      <c r="Q38" s="113">
        <f t="shared" si="10"/>
        <v>1.2412114411809684E-3</v>
      </c>
      <c r="R38" s="113">
        <f t="shared" si="9"/>
        <v>1.2476575792340525E-3</v>
      </c>
      <c r="S38" s="81"/>
      <c r="T38" s="119">
        <v>-31.05880737</v>
      </c>
      <c r="U38" s="119">
        <v>4.6265540957558002</v>
      </c>
      <c r="V38" s="114">
        <f>SQRT(U38^2-$V$19^2)</f>
        <v>4.5568632633594319</v>
      </c>
      <c r="W38" s="121">
        <v>-28.090671539300001</v>
      </c>
    </row>
    <row r="39" spans="2:23" x14ac:dyDescent="0.6">
      <c r="B39" s="111">
        <v>-52</v>
      </c>
      <c r="C39" s="119">
        <v>-29.174640655499999</v>
      </c>
      <c r="D39" s="81">
        <f t="shared" si="11"/>
        <v>6.3095734448019212E-6</v>
      </c>
      <c r="E39" s="81">
        <f t="shared" si="11"/>
        <v>1.2093052392936963E-3</v>
      </c>
      <c r="F39" s="81">
        <f t="shared" si="1"/>
        <v>22.825359344500001</v>
      </c>
      <c r="G39" s="120">
        <v>41</v>
      </c>
      <c r="H39" s="120">
        <v>65</v>
      </c>
      <c r="I39" s="120">
        <v>7.5</v>
      </c>
      <c r="J39" s="81">
        <f t="shared" si="2"/>
        <v>113.5</v>
      </c>
      <c r="K39" s="112">
        <f t="shared" si="3"/>
        <v>41</v>
      </c>
      <c r="L39" s="112">
        <f t="shared" si="4"/>
        <v>117</v>
      </c>
      <c r="M39" s="112">
        <f t="shared" si="5"/>
        <v>30</v>
      </c>
      <c r="N39" s="81">
        <f t="shared" si="6"/>
        <v>188</v>
      </c>
      <c r="O39" s="81">
        <f t="shared" si="7"/>
        <v>77.75</v>
      </c>
      <c r="P39" s="81">
        <f t="shared" si="8"/>
        <v>1.2029956658488944E-3</v>
      </c>
      <c r="Q39" s="113">
        <f t="shared" si="10"/>
        <v>1.5472613065580635E-3</v>
      </c>
      <c r="R39" s="113">
        <f t="shared" si="9"/>
        <v>1.5553765135610242E-3</v>
      </c>
      <c r="S39" s="81"/>
      <c r="T39" s="119">
        <v>-30.086483000000001</v>
      </c>
      <c r="U39" s="119">
        <v>4.3626664144506533</v>
      </c>
      <c r="V39" s="114">
        <f>SQRT(U39^2-$V$19^2)</f>
        <v>4.2886895718594182</v>
      </c>
      <c r="W39" s="121">
        <v>-29.023468017599999</v>
      </c>
    </row>
    <row r="40" spans="2:23" x14ac:dyDescent="0.6">
      <c r="B40" s="111">
        <v>-51</v>
      </c>
      <c r="C40" s="119">
        <v>-28.255779266400001</v>
      </c>
      <c r="D40" s="81">
        <f t="shared" si="11"/>
        <v>7.9432823472428065E-6</v>
      </c>
      <c r="E40" s="81">
        <f t="shared" si="11"/>
        <v>1.4942459017046612E-3</v>
      </c>
      <c r="F40" s="81">
        <f t="shared" si="1"/>
        <v>22.744220733599999</v>
      </c>
      <c r="G40" s="120">
        <v>41</v>
      </c>
      <c r="H40" s="120">
        <v>65</v>
      </c>
      <c r="I40" s="120">
        <v>7.5</v>
      </c>
      <c r="J40" s="81">
        <f t="shared" si="2"/>
        <v>113.5</v>
      </c>
      <c r="K40" s="112">
        <f t="shared" si="3"/>
        <v>41</v>
      </c>
      <c r="L40" s="112">
        <f t="shared" si="4"/>
        <v>117</v>
      </c>
      <c r="M40" s="112">
        <f t="shared" si="5"/>
        <v>30</v>
      </c>
      <c r="N40" s="81">
        <f t="shared" si="6"/>
        <v>188</v>
      </c>
      <c r="O40" s="81">
        <f t="shared" si="7"/>
        <v>77.75</v>
      </c>
      <c r="P40" s="81">
        <f t="shared" si="8"/>
        <v>1.4863026193574183E-3</v>
      </c>
      <c r="Q40" s="113">
        <f t="shared" si="10"/>
        <v>1.9116432403310849E-3</v>
      </c>
      <c r="R40" s="113">
        <f t="shared" si="9"/>
        <v>1.9218596806490817E-3</v>
      </c>
      <c r="S40" s="81"/>
      <c r="T40" s="119">
        <v>-29.045928960000001</v>
      </c>
      <c r="U40" s="119">
        <v>3.9399736424362946</v>
      </c>
      <c r="V40" s="114">
        <f>SQRT(U40^2-$V$19^2)</f>
        <v>3.857899986144369</v>
      </c>
      <c r="W40" s="121">
        <v>-30.022285461399999</v>
      </c>
    </row>
    <row r="41" spans="2:23" x14ac:dyDescent="0.6">
      <c r="B41" s="111">
        <v>-50</v>
      </c>
      <c r="C41" s="119">
        <v>-27.211982727100001</v>
      </c>
      <c r="D41" s="81">
        <f t="shared" si="11"/>
        <v>1.0000000000000001E-5</v>
      </c>
      <c r="E41" s="81">
        <f t="shared" si="11"/>
        <v>1.9002105601408381E-3</v>
      </c>
      <c r="F41" s="81">
        <f t="shared" si="1"/>
        <v>22.788017272899999</v>
      </c>
      <c r="G41" s="120">
        <v>41</v>
      </c>
      <c r="H41" s="120">
        <v>65</v>
      </c>
      <c r="I41" s="120">
        <v>7.5</v>
      </c>
      <c r="J41" s="81">
        <f t="shared" si="2"/>
        <v>113.5</v>
      </c>
      <c r="K41" s="112">
        <f t="shared" si="3"/>
        <v>41</v>
      </c>
      <c r="L41" s="112">
        <f t="shared" si="4"/>
        <v>117</v>
      </c>
      <c r="M41" s="112">
        <f t="shared" si="5"/>
        <v>30</v>
      </c>
      <c r="N41" s="81">
        <f t="shared" si="6"/>
        <v>188</v>
      </c>
      <c r="O41" s="81">
        <f t="shared" si="7"/>
        <v>77.75</v>
      </c>
      <c r="P41" s="81">
        <f t="shared" si="8"/>
        <v>1.890210560140838E-3</v>
      </c>
      <c r="Q41" s="113">
        <f t="shared" si="10"/>
        <v>2.4311389841039717E-3</v>
      </c>
      <c r="R41" s="113">
        <f t="shared" si="9"/>
        <v>2.4440007204383769E-3</v>
      </c>
      <c r="S41" s="81"/>
      <c r="T41" s="119">
        <v>-28.03655243</v>
      </c>
      <c r="U41" s="119">
        <v>3.6844970403267299</v>
      </c>
      <c r="V41" s="114">
        <f>SQRT(U41^2-$V$19^2)</f>
        <v>3.5965981760792283</v>
      </c>
      <c r="W41" s="121">
        <v>-31.034637451199998</v>
      </c>
    </row>
    <row r="42" spans="2:23" x14ac:dyDescent="0.6">
      <c r="B42" s="111">
        <v>-49</v>
      </c>
      <c r="C42" s="119">
        <v>-26.232137680099999</v>
      </c>
      <c r="D42" s="81">
        <f t="shared" si="11"/>
        <v>1.2589254117941658E-5</v>
      </c>
      <c r="E42" s="81">
        <f t="shared" si="11"/>
        <v>2.381147134919076E-3</v>
      </c>
      <c r="F42" s="81">
        <f t="shared" si="1"/>
        <v>22.767862319900001</v>
      </c>
      <c r="G42" s="120">
        <v>41</v>
      </c>
      <c r="H42" s="120">
        <v>65</v>
      </c>
      <c r="I42" s="120">
        <v>7.5</v>
      </c>
      <c r="J42" s="81">
        <f t="shared" si="2"/>
        <v>113.5</v>
      </c>
      <c r="K42" s="112">
        <f t="shared" si="3"/>
        <v>41</v>
      </c>
      <c r="L42" s="112">
        <f t="shared" si="4"/>
        <v>117</v>
      </c>
      <c r="M42" s="112">
        <f t="shared" si="5"/>
        <v>30</v>
      </c>
      <c r="N42" s="81">
        <f t="shared" si="6"/>
        <v>188</v>
      </c>
      <c r="O42" s="81">
        <f t="shared" si="7"/>
        <v>77.75</v>
      </c>
      <c r="P42" s="81">
        <f t="shared" si="8"/>
        <v>2.3685578808011346E-3</v>
      </c>
      <c r="Q42" s="113">
        <f t="shared" si="10"/>
        <v>3.0463766955641605E-3</v>
      </c>
      <c r="R42" s="113">
        <f t="shared" si="9"/>
        <v>3.0625686622753391E-3</v>
      </c>
      <c r="S42" s="81"/>
      <c r="T42" s="119">
        <v>-27.025207519999999</v>
      </c>
      <c r="U42" s="119">
        <v>3.4858371255576488</v>
      </c>
      <c r="V42" s="114">
        <f>SQRT(U42^2-$V$19^2)</f>
        <v>3.3927953763697585</v>
      </c>
      <c r="W42" s="121">
        <v>-32.03515625</v>
      </c>
    </row>
    <row r="43" spans="2:23" x14ac:dyDescent="0.6">
      <c r="B43" s="111">
        <v>-48</v>
      </c>
      <c r="C43" s="119">
        <v>-25.212917327900001</v>
      </c>
      <c r="D43" s="81">
        <f t="shared" si="11"/>
        <v>1.5848931924611131E-5</v>
      </c>
      <c r="E43" s="81">
        <f t="shared" si="11"/>
        <v>3.0109827484380812E-3</v>
      </c>
      <c r="F43" s="81">
        <f t="shared" si="1"/>
        <v>22.787082672099999</v>
      </c>
      <c r="G43" s="120">
        <v>41</v>
      </c>
      <c r="H43" s="120">
        <v>65</v>
      </c>
      <c r="I43" s="120">
        <v>7.5</v>
      </c>
      <c r="J43" s="81">
        <f t="shared" si="2"/>
        <v>113.5</v>
      </c>
      <c r="K43" s="112">
        <f t="shared" si="3"/>
        <v>41</v>
      </c>
      <c r="L43" s="112">
        <f t="shared" si="4"/>
        <v>117</v>
      </c>
      <c r="M43" s="112">
        <f t="shared" si="5"/>
        <v>30</v>
      </c>
      <c r="N43" s="81">
        <f t="shared" si="6"/>
        <v>188</v>
      </c>
      <c r="O43" s="81">
        <f t="shared" si="7"/>
        <v>77.75</v>
      </c>
      <c r="P43" s="81">
        <f t="shared" si="8"/>
        <v>2.9951338165134702E-3</v>
      </c>
      <c r="Q43" s="113">
        <f t="shared" si="10"/>
        <v>3.8522621434256854E-3</v>
      </c>
      <c r="R43" s="113">
        <f t="shared" si="9"/>
        <v>3.8726466217853138E-3</v>
      </c>
      <c r="S43" s="81"/>
      <c r="T43" s="119">
        <v>-26.02428055</v>
      </c>
      <c r="U43" s="119">
        <v>3.3140804324398165</v>
      </c>
      <c r="V43" s="114">
        <f>SQRT(U43^2-$V$19^2)</f>
        <v>3.2160735552347806</v>
      </c>
      <c r="W43" s="121">
        <v>-33.053216934200002</v>
      </c>
    </row>
    <row r="44" spans="2:23" ht="15.75" customHeight="1" x14ac:dyDescent="0.6">
      <c r="B44" s="111">
        <v>-47</v>
      </c>
      <c r="C44" s="119">
        <v>-24.281206131000001</v>
      </c>
      <c r="D44" s="81">
        <f t="shared" si="11"/>
        <v>1.9952623149688769E-5</v>
      </c>
      <c r="E44" s="81">
        <f t="shared" si="11"/>
        <v>3.7314651243594834E-3</v>
      </c>
      <c r="F44" s="81">
        <f t="shared" si="1"/>
        <v>22.718793868999999</v>
      </c>
      <c r="G44" s="120">
        <v>41</v>
      </c>
      <c r="H44" s="120">
        <v>64.5</v>
      </c>
      <c r="I44" s="120">
        <v>7.5</v>
      </c>
      <c r="J44" s="81">
        <f t="shared" si="2"/>
        <v>113</v>
      </c>
      <c r="K44" s="112">
        <f t="shared" si="3"/>
        <v>41</v>
      </c>
      <c r="L44" s="112">
        <f t="shared" si="4"/>
        <v>116.10000000000001</v>
      </c>
      <c r="M44" s="112">
        <f t="shared" si="5"/>
        <v>30</v>
      </c>
      <c r="N44" s="81">
        <f t="shared" si="6"/>
        <v>187.10000000000002</v>
      </c>
      <c r="O44" s="81">
        <f t="shared" si="7"/>
        <v>76.850000000000023</v>
      </c>
      <c r="P44" s="81">
        <f t="shared" si="8"/>
        <v>3.7115125012097947E-3</v>
      </c>
      <c r="Q44" s="113">
        <f t="shared" si="10"/>
        <v>4.8295543281845071E-3</v>
      </c>
      <c r="R44" s="113">
        <f t="shared" si="9"/>
        <v>4.8555174032003674E-3</v>
      </c>
      <c r="S44" s="81"/>
      <c r="T44" s="119">
        <v>-24.95992279</v>
      </c>
      <c r="U44" s="119">
        <v>3.2119741506331922</v>
      </c>
      <c r="V44" s="114">
        <f>SQRT(U44^2-$V$19^2)</f>
        <v>3.1107519901682643</v>
      </c>
      <c r="W44" s="121">
        <v>-33.924079894999998</v>
      </c>
    </row>
    <row r="45" spans="2:23" x14ac:dyDescent="0.6">
      <c r="B45" s="111">
        <v>-46</v>
      </c>
      <c r="C45" s="119">
        <v>-23.2135868073</v>
      </c>
      <c r="D45" s="81">
        <f t="shared" si="11"/>
        <v>2.5118864315095791E-5</v>
      </c>
      <c r="E45" s="81">
        <f t="shared" si="11"/>
        <v>4.7713504843637381E-3</v>
      </c>
      <c r="F45" s="81">
        <f t="shared" si="1"/>
        <v>22.7864131927</v>
      </c>
      <c r="G45" s="120">
        <v>41</v>
      </c>
      <c r="H45" s="120">
        <v>65</v>
      </c>
      <c r="I45" s="120">
        <v>7.5</v>
      </c>
      <c r="J45" s="81">
        <f t="shared" si="2"/>
        <v>113.5</v>
      </c>
      <c r="K45" s="112">
        <f t="shared" si="3"/>
        <v>41</v>
      </c>
      <c r="L45" s="112">
        <f t="shared" si="4"/>
        <v>117</v>
      </c>
      <c r="M45" s="112">
        <f t="shared" si="5"/>
        <v>30</v>
      </c>
      <c r="N45" s="81">
        <f t="shared" si="6"/>
        <v>188</v>
      </c>
      <c r="O45" s="81">
        <f t="shared" si="7"/>
        <v>77.75</v>
      </c>
      <c r="P45" s="81">
        <f t="shared" si="8"/>
        <v>4.7462316200486427E-3</v>
      </c>
      <c r="Q45" s="113">
        <f t="shared" si="10"/>
        <v>6.104477967908222E-3</v>
      </c>
      <c r="R45" s="113">
        <f t="shared" si="9"/>
        <v>6.1367851888922686E-3</v>
      </c>
      <c r="S45" s="81"/>
      <c r="T45" s="119">
        <v>-23.924640660000001</v>
      </c>
      <c r="U45" s="119">
        <v>3.167007344275568</v>
      </c>
      <c r="V45" s="114">
        <f>SQRT(U45^2-$V$19^2)</f>
        <v>3.0643001678516066</v>
      </c>
      <c r="W45" s="121">
        <v>-34.964130401600002</v>
      </c>
    </row>
    <row r="46" spans="2:23" x14ac:dyDescent="0.6">
      <c r="B46" s="111">
        <v>-45</v>
      </c>
      <c r="C46" s="119">
        <v>-22.1791782379</v>
      </c>
      <c r="D46" s="81">
        <f t="shared" si="11"/>
        <v>3.1622776601683748E-5</v>
      </c>
      <c r="E46" s="81">
        <f t="shared" si="11"/>
        <v>6.0545542680902047E-3</v>
      </c>
      <c r="F46" s="81">
        <f t="shared" si="1"/>
        <v>22.8208217621</v>
      </c>
      <c r="G46" s="120">
        <v>41</v>
      </c>
      <c r="H46" s="120">
        <v>65</v>
      </c>
      <c r="I46" s="120">
        <v>7.5</v>
      </c>
      <c r="J46" s="81">
        <f t="shared" si="2"/>
        <v>113.5</v>
      </c>
      <c r="K46" s="112">
        <f t="shared" si="3"/>
        <v>41</v>
      </c>
      <c r="L46" s="112">
        <f t="shared" si="4"/>
        <v>117</v>
      </c>
      <c r="M46" s="112">
        <f t="shared" si="5"/>
        <v>30</v>
      </c>
      <c r="N46" s="81">
        <f t="shared" si="6"/>
        <v>188</v>
      </c>
      <c r="O46" s="81">
        <f t="shared" si="7"/>
        <v>77.75</v>
      </c>
      <c r="P46" s="81">
        <f t="shared" si="8"/>
        <v>6.0229314914885214E-3</v>
      </c>
      <c r="Q46" s="113">
        <f t="shared" si="10"/>
        <v>7.746535680371089E-3</v>
      </c>
      <c r="R46" s="113">
        <f t="shared" si="9"/>
        <v>7.7872080618523534E-3</v>
      </c>
      <c r="S46" s="81"/>
      <c r="T46" s="119">
        <v>-22.920955660000001</v>
      </c>
      <c r="U46" s="119">
        <v>3.0138801384691503</v>
      </c>
      <c r="V46" s="114">
        <f>SQRT(U46^2-$V$19^2)</f>
        <v>2.9057655598927496</v>
      </c>
      <c r="W46" s="121">
        <v>-35.874809265099998</v>
      </c>
    </row>
    <row r="47" spans="2:23" x14ac:dyDescent="0.6">
      <c r="B47" s="111">
        <v>-44</v>
      </c>
      <c r="C47" s="119">
        <v>-21.215988159199998</v>
      </c>
      <c r="D47" s="81">
        <f t="shared" si="11"/>
        <v>3.9810717055349634E-5</v>
      </c>
      <c r="E47" s="81">
        <f t="shared" si="11"/>
        <v>7.5579007429767975E-3</v>
      </c>
      <c r="F47" s="81">
        <f t="shared" si="1"/>
        <v>22.784011840800002</v>
      </c>
      <c r="G47" s="120">
        <v>41</v>
      </c>
      <c r="H47" s="120">
        <v>65</v>
      </c>
      <c r="I47" s="120">
        <v>7.5</v>
      </c>
      <c r="J47" s="81">
        <f t="shared" si="2"/>
        <v>113.5</v>
      </c>
      <c r="K47" s="112">
        <f t="shared" si="3"/>
        <v>41</v>
      </c>
      <c r="L47" s="112">
        <f t="shared" si="4"/>
        <v>117</v>
      </c>
      <c r="M47" s="112">
        <f t="shared" si="5"/>
        <v>30</v>
      </c>
      <c r="N47" s="81">
        <f t="shared" si="6"/>
        <v>188</v>
      </c>
      <c r="O47" s="81">
        <f t="shared" si="7"/>
        <v>77.75</v>
      </c>
      <c r="P47" s="81">
        <f t="shared" si="8"/>
        <v>7.518090025921448E-3</v>
      </c>
      <c r="Q47" s="113">
        <f t="shared" si="10"/>
        <v>9.6695691651722798E-3</v>
      </c>
      <c r="R47" s="113">
        <f t="shared" si="9"/>
        <v>9.7207726597772319E-3</v>
      </c>
      <c r="S47" s="81"/>
      <c r="T47" s="119">
        <v>-22.647518160000001</v>
      </c>
      <c r="U47" s="119">
        <v>2.7582418493166894</v>
      </c>
      <c r="V47" s="114">
        <f>SQRT(U47^2-$V$19^2)</f>
        <v>2.6396776506463722</v>
      </c>
      <c r="W47" s="121">
        <v>-36.780786514299997</v>
      </c>
    </row>
    <row r="48" spans="2:23" x14ac:dyDescent="0.6">
      <c r="B48" s="111">
        <v>-43</v>
      </c>
      <c r="C48" s="119">
        <v>-20.224441528300002</v>
      </c>
      <c r="D48" s="81">
        <f t="shared" si="11"/>
        <v>5.0118723362727238E-5</v>
      </c>
      <c r="E48" s="81">
        <f t="shared" si="11"/>
        <v>9.4963310738920888E-3</v>
      </c>
      <c r="F48" s="81">
        <f t="shared" si="1"/>
        <v>22.775558471699998</v>
      </c>
      <c r="G48" s="120">
        <v>41</v>
      </c>
      <c r="H48" s="120">
        <v>65.5</v>
      </c>
      <c r="I48" s="120">
        <v>7.5</v>
      </c>
      <c r="J48" s="81">
        <f t="shared" si="2"/>
        <v>114</v>
      </c>
      <c r="K48" s="112">
        <f t="shared" si="3"/>
        <v>41</v>
      </c>
      <c r="L48" s="112">
        <f t="shared" si="4"/>
        <v>117.9</v>
      </c>
      <c r="M48" s="112">
        <f t="shared" si="5"/>
        <v>30</v>
      </c>
      <c r="N48" s="81">
        <f t="shared" si="6"/>
        <v>188.9</v>
      </c>
      <c r="O48" s="81">
        <f t="shared" si="7"/>
        <v>78.650000000000006</v>
      </c>
      <c r="P48" s="81">
        <f t="shared" si="8"/>
        <v>9.4462123505293615E-3</v>
      </c>
      <c r="Q48" s="113">
        <f t="shared" si="10"/>
        <v>1.2010441640851063E-2</v>
      </c>
      <c r="R48" s="113">
        <f t="shared" si="9"/>
        <v>1.2074165383206725E-2</v>
      </c>
      <c r="S48" s="81"/>
      <c r="T48" s="119">
        <v>-21.656883239999999</v>
      </c>
      <c r="U48" s="119">
        <v>2.8387658854298667</v>
      </c>
      <c r="V48" s="114">
        <f>SQRT(U48^2-$V$19^2)</f>
        <v>2.7237091901083006</v>
      </c>
      <c r="W48" s="121">
        <v>-37.617090225200002</v>
      </c>
    </row>
    <row r="49" spans="2:23" x14ac:dyDescent="0.6">
      <c r="B49" s="111">
        <v>-42</v>
      </c>
      <c r="C49" s="119">
        <v>-19.225233077999999</v>
      </c>
      <c r="D49" s="81">
        <f t="shared" si="11"/>
        <v>6.3095734448019279E-5</v>
      </c>
      <c r="E49" s="81">
        <f t="shared" si="11"/>
        <v>1.1952993743949772E-2</v>
      </c>
      <c r="F49" s="81">
        <f t="shared" si="1"/>
        <v>22.774766922000001</v>
      </c>
      <c r="G49" s="120">
        <v>41</v>
      </c>
      <c r="H49" s="120">
        <v>65.5</v>
      </c>
      <c r="I49" s="120">
        <v>7.5</v>
      </c>
      <c r="J49" s="81">
        <f t="shared" si="2"/>
        <v>114</v>
      </c>
      <c r="K49" s="112">
        <f t="shared" si="3"/>
        <v>41</v>
      </c>
      <c r="L49" s="112">
        <f t="shared" si="4"/>
        <v>117.9</v>
      </c>
      <c r="M49" s="112">
        <f t="shared" si="5"/>
        <v>30</v>
      </c>
      <c r="N49" s="81">
        <f t="shared" si="6"/>
        <v>188.9</v>
      </c>
      <c r="O49" s="81">
        <f t="shared" si="7"/>
        <v>78.650000000000006</v>
      </c>
      <c r="P49" s="81">
        <f t="shared" si="8"/>
        <v>1.1889898009501753E-2</v>
      </c>
      <c r="Q49" s="113">
        <f t="shared" si="10"/>
        <v>1.5117479986651942E-2</v>
      </c>
      <c r="R49" s="113">
        <f t="shared" si="9"/>
        <v>1.5197703425238107E-2</v>
      </c>
      <c r="S49" s="81"/>
      <c r="T49" s="119">
        <v>-20.699993129999999</v>
      </c>
      <c r="U49" s="119">
        <v>2.738413019861353</v>
      </c>
      <c r="V49" s="114">
        <f>SQRT(U49^2-$V$19^2)</f>
        <v>2.6189512915184534</v>
      </c>
      <c r="W49" s="121">
        <v>-38.1731987</v>
      </c>
    </row>
    <row r="50" spans="2:23" x14ac:dyDescent="0.6">
      <c r="B50" s="111">
        <v>-41</v>
      </c>
      <c r="C50" s="119">
        <v>-18.236248016400001</v>
      </c>
      <c r="D50" s="81">
        <f t="shared" si="11"/>
        <v>7.9432823472428153E-5</v>
      </c>
      <c r="E50" s="81">
        <f t="shared" si="11"/>
        <v>1.5009810122693833E-2</v>
      </c>
      <c r="F50" s="81">
        <f t="shared" si="1"/>
        <v>22.763751983599999</v>
      </c>
      <c r="G50" s="120">
        <v>41</v>
      </c>
      <c r="H50" s="120">
        <v>65.5</v>
      </c>
      <c r="I50" s="120">
        <v>7.5</v>
      </c>
      <c r="J50" s="81">
        <f t="shared" si="2"/>
        <v>114</v>
      </c>
      <c r="K50" s="112">
        <f t="shared" si="3"/>
        <v>41</v>
      </c>
      <c r="L50" s="112">
        <f t="shared" si="4"/>
        <v>117.9</v>
      </c>
      <c r="M50" s="112">
        <f t="shared" si="5"/>
        <v>30</v>
      </c>
      <c r="N50" s="81">
        <f t="shared" si="6"/>
        <v>188.9</v>
      </c>
      <c r="O50" s="81">
        <f t="shared" si="7"/>
        <v>78.650000000000006</v>
      </c>
      <c r="P50" s="81">
        <f t="shared" si="8"/>
        <v>1.4930377299221404E-2</v>
      </c>
      <c r="Q50" s="113">
        <f t="shared" si="10"/>
        <v>1.898331506576148E-2</v>
      </c>
      <c r="R50" s="113">
        <f t="shared" si="9"/>
        <v>1.9084310391219109E-2</v>
      </c>
      <c r="S50" s="81"/>
      <c r="T50" s="119">
        <v>-19.681701660000002</v>
      </c>
      <c r="U50" s="119">
        <v>2.7433658585620386</v>
      </c>
      <c r="V50" s="114">
        <f>SQRT(U50^2-$V$19^2)</f>
        <v>2.6241296145434263</v>
      </c>
      <c r="W50" s="121">
        <v>-38.883089065599997</v>
      </c>
    </row>
    <row r="51" spans="2:23" x14ac:dyDescent="0.6">
      <c r="B51" s="111">
        <v>-40</v>
      </c>
      <c r="C51" s="119">
        <v>-17.3659305573</v>
      </c>
      <c r="D51" s="81">
        <f t="shared" si="11"/>
        <v>1E-4</v>
      </c>
      <c r="E51" s="81">
        <f t="shared" si="11"/>
        <v>1.8340321492617936E-2</v>
      </c>
      <c r="F51" s="81">
        <f t="shared" si="1"/>
        <v>22.6340694427</v>
      </c>
      <c r="G51" s="120">
        <v>41</v>
      </c>
      <c r="H51" s="120">
        <v>65.5</v>
      </c>
      <c r="I51" s="120">
        <v>7.5</v>
      </c>
      <c r="J51" s="81">
        <f t="shared" si="2"/>
        <v>114</v>
      </c>
      <c r="K51" s="112">
        <f t="shared" si="3"/>
        <v>41</v>
      </c>
      <c r="L51" s="112">
        <f t="shared" si="4"/>
        <v>117.9</v>
      </c>
      <c r="M51" s="112">
        <f t="shared" si="5"/>
        <v>30</v>
      </c>
      <c r="N51" s="81">
        <f t="shared" si="6"/>
        <v>188.9</v>
      </c>
      <c r="O51" s="81">
        <f t="shared" si="7"/>
        <v>78.650000000000006</v>
      </c>
      <c r="P51" s="81">
        <f t="shared" si="8"/>
        <v>1.8240321492617936E-2</v>
      </c>
      <c r="Q51" s="113">
        <f t="shared" si="10"/>
        <v>2.3191762864104178E-2</v>
      </c>
      <c r="R51" s="113">
        <f t="shared" si="9"/>
        <v>2.3318908445795213E-2</v>
      </c>
      <c r="S51" s="81"/>
      <c r="T51" s="119">
        <v>-18.704895019999999</v>
      </c>
      <c r="U51" s="119">
        <v>2.770609149014684</v>
      </c>
      <c r="V51" s="114">
        <f>SQRT(U51^2-$V$19^2)</f>
        <v>2.6525977939755343</v>
      </c>
      <c r="W51" s="121">
        <v>-39.080276489299997</v>
      </c>
    </row>
    <row r="52" spans="2:23" x14ac:dyDescent="0.6">
      <c r="B52" s="111">
        <v>-39</v>
      </c>
      <c r="C52" s="119">
        <v>-16.356523513799999</v>
      </c>
      <c r="D52" s="81">
        <f t="shared" si="11"/>
        <v>1.2589254117941672E-4</v>
      </c>
      <c r="E52" s="81">
        <f t="shared" si="11"/>
        <v>2.3139163171109235E-2</v>
      </c>
      <c r="F52" s="81">
        <f t="shared" si="1"/>
        <v>22.643476486200001</v>
      </c>
      <c r="G52" s="120">
        <v>41</v>
      </c>
      <c r="H52" s="120">
        <v>65.5</v>
      </c>
      <c r="I52" s="120">
        <v>7.5</v>
      </c>
      <c r="J52" s="81">
        <f t="shared" si="2"/>
        <v>114</v>
      </c>
      <c r="K52" s="112">
        <f t="shared" si="3"/>
        <v>41</v>
      </c>
      <c r="L52" s="112">
        <f t="shared" si="4"/>
        <v>117.9</v>
      </c>
      <c r="M52" s="112">
        <f t="shared" si="5"/>
        <v>30</v>
      </c>
      <c r="N52" s="81">
        <f t="shared" si="6"/>
        <v>188.9</v>
      </c>
      <c r="O52" s="81">
        <f t="shared" si="7"/>
        <v>78.650000000000006</v>
      </c>
      <c r="P52" s="81">
        <f t="shared" si="8"/>
        <v>2.3013270629929819E-2</v>
      </c>
      <c r="Q52" s="113">
        <f t="shared" si="10"/>
        <v>2.9260356808556667E-2</v>
      </c>
      <c r="R52" s="113">
        <f t="shared" si="9"/>
        <v>2.942042361234486E-2</v>
      </c>
      <c r="S52" s="81"/>
      <c r="T52" s="119">
        <v>-17.741909029999999</v>
      </c>
      <c r="U52" s="119">
        <v>2.9709460401804528</v>
      </c>
      <c r="V52" s="114">
        <f>SQRT(U52^2-$V$19^2)</f>
        <v>2.8612095997434217</v>
      </c>
      <c r="W52" s="121">
        <v>-38.814848899799998</v>
      </c>
    </row>
    <row r="53" spans="2:23" x14ac:dyDescent="0.6">
      <c r="B53" s="111">
        <v>-38</v>
      </c>
      <c r="C53" s="119">
        <v>-15.364043235800001</v>
      </c>
      <c r="D53" s="81">
        <f t="shared" si="11"/>
        <v>1.584893192461112E-4</v>
      </c>
      <c r="E53" s="81">
        <f t="shared" si="11"/>
        <v>2.9080085321714952E-2</v>
      </c>
      <c r="F53" s="81">
        <f t="shared" si="1"/>
        <v>22.635956764199999</v>
      </c>
      <c r="G53" s="120">
        <v>41</v>
      </c>
      <c r="H53" s="120">
        <v>65.5</v>
      </c>
      <c r="I53" s="120">
        <v>7.5</v>
      </c>
      <c r="J53" s="81">
        <f t="shared" si="2"/>
        <v>114</v>
      </c>
      <c r="K53" s="112">
        <f t="shared" si="3"/>
        <v>41</v>
      </c>
      <c r="L53" s="112">
        <f t="shared" si="4"/>
        <v>117.9</v>
      </c>
      <c r="M53" s="112">
        <f t="shared" si="5"/>
        <v>30</v>
      </c>
      <c r="N53" s="81">
        <f t="shared" si="6"/>
        <v>188.9</v>
      </c>
      <c r="O53" s="81">
        <f t="shared" si="7"/>
        <v>78.650000000000006</v>
      </c>
      <c r="P53" s="81">
        <f t="shared" si="8"/>
        <v>2.8921596002468842E-2</v>
      </c>
      <c r="Q53" s="113">
        <f t="shared" si="10"/>
        <v>3.6772531471670492E-2</v>
      </c>
      <c r="R53" s="113">
        <f t="shared" si="9"/>
        <v>3.6974043638544118E-2</v>
      </c>
      <c r="S53" s="81"/>
      <c r="T53" s="119">
        <v>-16.78182983</v>
      </c>
      <c r="U53" s="119">
        <v>3.1903578396569245</v>
      </c>
      <c r="V53" s="114">
        <f>SQRT(U53^2-$V$19^2)</f>
        <v>3.0884272931478245</v>
      </c>
      <c r="W53" s="121">
        <v>-38.022575378399999</v>
      </c>
    </row>
    <row r="54" spans="2:23" x14ac:dyDescent="0.6">
      <c r="B54" s="111">
        <v>-37</v>
      </c>
      <c r="C54" s="119">
        <v>-14.3020820618</v>
      </c>
      <c r="D54" s="81">
        <f t="shared" si="11"/>
        <v>1.9952623149688758E-4</v>
      </c>
      <c r="E54" s="81">
        <f t="shared" si="11"/>
        <v>3.7135715317340813E-2</v>
      </c>
      <c r="F54" s="81">
        <f t="shared" si="1"/>
        <v>22.6979179382</v>
      </c>
      <c r="G54" s="120">
        <v>41</v>
      </c>
      <c r="H54" s="120">
        <v>65.5</v>
      </c>
      <c r="I54" s="120">
        <v>7.5</v>
      </c>
      <c r="J54" s="81">
        <f t="shared" si="2"/>
        <v>114</v>
      </c>
      <c r="K54" s="112">
        <f t="shared" si="3"/>
        <v>41</v>
      </c>
      <c r="L54" s="112">
        <f t="shared" si="4"/>
        <v>117.9</v>
      </c>
      <c r="M54" s="112">
        <f t="shared" si="5"/>
        <v>30</v>
      </c>
      <c r="N54" s="81">
        <f t="shared" si="6"/>
        <v>188.9</v>
      </c>
      <c r="O54" s="81">
        <f t="shared" si="7"/>
        <v>78.650000000000006</v>
      </c>
      <c r="P54" s="81">
        <f t="shared" si="8"/>
        <v>3.6936189085843923E-2</v>
      </c>
      <c r="Q54" s="113">
        <f t="shared" si="10"/>
        <v>4.6962732467697291E-2</v>
      </c>
      <c r="R54" s="113">
        <f t="shared" si="9"/>
        <v>4.7216421255360221E-2</v>
      </c>
      <c r="S54" s="81"/>
      <c r="T54" s="119">
        <v>-15.87968826</v>
      </c>
      <c r="U54" s="119">
        <v>3.5424382778738495</v>
      </c>
      <c r="V54" s="114">
        <f>SQRT(U54^2-$V$19^2)</f>
        <v>3.4509229131561088</v>
      </c>
      <c r="W54" s="121">
        <v>-36.677041053799996</v>
      </c>
    </row>
    <row r="55" spans="2:23" x14ac:dyDescent="0.6">
      <c r="B55" s="111">
        <v>-36</v>
      </c>
      <c r="C55" s="119">
        <v>-13.436947822600001</v>
      </c>
      <c r="D55" s="81">
        <f t="shared" si="11"/>
        <v>2.5118864315095774E-4</v>
      </c>
      <c r="E55" s="81">
        <f t="shared" si="11"/>
        <v>4.5321598358380982E-2</v>
      </c>
      <c r="F55" s="81">
        <f t="shared" si="1"/>
        <v>22.563052177399999</v>
      </c>
      <c r="G55" s="120">
        <v>41</v>
      </c>
      <c r="H55" s="120">
        <v>65.5</v>
      </c>
      <c r="I55" s="120">
        <v>7.5</v>
      </c>
      <c r="J55" s="81">
        <f t="shared" si="2"/>
        <v>114</v>
      </c>
      <c r="K55" s="112">
        <f t="shared" si="3"/>
        <v>41</v>
      </c>
      <c r="L55" s="112">
        <f t="shared" si="4"/>
        <v>117.9</v>
      </c>
      <c r="M55" s="112">
        <f t="shared" si="5"/>
        <v>30</v>
      </c>
      <c r="N55" s="81">
        <f t="shared" si="6"/>
        <v>188.9</v>
      </c>
      <c r="O55" s="81">
        <f t="shared" si="7"/>
        <v>78.650000000000006</v>
      </c>
      <c r="P55" s="81">
        <f t="shared" si="8"/>
        <v>4.5070409715230027E-2</v>
      </c>
      <c r="Q55" s="113">
        <f t="shared" si="10"/>
        <v>5.7305034602962518E-2</v>
      </c>
      <c r="R55" s="113">
        <f t="shared" si="9"/>
        <v>5.7624409864438626E-2</v>
      </c>
      <c r="S55" s="81"/>
      <c r="T55" s="119">
        <v>-14.92786407</v>
      </c>
      <c r="U55" s="119">
        <v>4.2322533312547099</v>
      </c>
      <c r="V55" s="114">
        <f>SQRT(U55^2-$V$19^2)</f>
        <v>4.1559557576948034</v>
      </c>
      <c r="W55" s="121">
        <v>-35.0824508667</v>
      </c>
    </row>
    <row r="56" spans="2:23" x14ac:dyDescent="0.6">
      <c r="B56" s="111">
        <v>-35</v>
      </c>
      <c r="C56" s="119">
        <v>-12.427680969200001</v>
      </c>
      <c r="D56" s="81">
        <f t="shared" si="11"/>
        <v>3.1622776601683783E-4</v>
      </c>
      <c r="E56" s="81">
        <f t="shared" si="11"/>
        <v>5.7178387436461427E-2</v>
      </c>
      <c r="F56" s="81">
        <f t="shared" si="1"/>
        <v>22.572319030799999</v>
      </c>
      <c r="G56" s="120">
        <v>41</v>
      </c>
      <c r="H56" s="120">
        <v>65.5</v>
      </c>
      <c r="I56" s="120">
        <v>7.5</v>
      </c>
      <c r="J56" s="81">
        <f t="shared" si="2"/>
        <v>114</v>
      </c>
      <c r="K56" s="112">
        <f t="shared" si="3"/>
        <v>41</v>
      </c>
      <c r="L56" s="112">
        <f t="shared" si="4"/>
        <v>117.9</v>
      </c>
      <c r="M56" s="112">
        <f t="shared" si="5"/>
        <v>30</v>
      </c>
      <c r="N56" s="81">
        <f t="shared" si="6"/>
        <v>188.9</v>
      </c>
      <c r="O56" s="81">
        <f t="shared" si="7"/>
        <v>78.650000000000006</v>
      </c>
      <c r="P56" s="81">
        <f t="shared" si="8"/>
        <v>5.6862159670444591E-2</v>
      </c>
      <c r="Q56" s="113">
        <f t="shared" si="10"/>
        <v>7.2297723675072589E-2</v>
      </c>
      <c r="R56" s="113">
        <f t="shared" si="9"/>
        <v>7.2699793307643257E-2</v>
      </c>
      <c r="S56" s="81"/>
      <c r="T56" s="119">
        <v>-14.02373886</v>
      </c>
      <c r="U56" s="119">
        <v>5.0057712193354327</v>
      </c>
      <c r="V56" s="114">
        <f>SQRT(U56^2-$V$19^2)</f>
        <v>4.9414315233874229</v>
      </c>
      <c r="W56" s="121">
        <v>-33.239064216599999</v>
      </c>
    </row>
    <row r="57" spans="2:23" x14ac:dyDescent="0.6">
      <c r="B57" s="111">
        <v>-34</v>
      </c>
      <c r="C57" s="119">
        <v>-11.4828481674</v>
      </c>
      <c r="D57" s="81">
        <f t="shared" si="11"/>
        <v>3.9810717055349708E-4</v>
      </c>
      <c r="E57" s="81">
        <f t="shared" si="11"/>
        <v>7.1074724223006758E-2</v>
      </c>
      <c r="F57" s="81">
        <f t="shared" si="1"/>
        <v>22.5171518326</v>
      </c>
      <c r="G57" s="120">
        <v>41</v>
      </c>
      <c r="H57" s="120">
        <v>66.5</v>
      </c>
      <c r="I57" s="120">
        <v>7.5</v>
      </c>
      <c r="J57" s="81">
        <f t="shared" si="2"/>
        <v>115</v>
      </c>
      <c r="K57" s="112">
        <f t="shared" si="3"/>
        <v>41</v>
      </c>
      <c r="L57" s="112">
        <f t="shared" si="4"/>
        <v>119.7</v>
      </c>
      <c r="M57" s="112">
        <f t="shared" si="5"/>
        <v>30</v>
      </c>
      <c r="N57" s="81">
        <f t="shared" si="6"/>
        <v>190.7</v>
      </c>
      <c r="O57" s="81">
        <f t="shared" si="7"/>
        <v>80.449999999999989</v>
      </c>
      <c r="P57" s="81">
        <f t="shared" si="8"/>
        <v>7.0676617052453261E-2</v>
      </c>
      <c r="Q57" s="113">
        <f t="shared" si="10"/>
        <v>8.7851606031638621E-2</v>
      </c>
      <c r="R57" s="113">
        <f t="shared" si="9"/>
        <v>8.8346456461164416E-2</v>
      </c>
      <c r="S57" s="81"/>
      <c r="T57" s="119">
        <v>-13.15862274</v>
      </c>
      <c r="U57" s="119">
        <v>6.1287381000344476</v>
      </c>
      <c r="V57" s="114">
        <f>SQRT(U57^2-$V$19^2)</f>
        <v>6.0763007413074819</v>
      </c>
      <c r="W57" s="121">
        <v>-31.3496046066</v>
      </c>
    </row>
    <row r="58" spans="2:23" x14ac:dyDescent="0.6">
      <c r="B58" s="111">
        <v>-33</v>
      </c>
      <c r="C58" s="119">
        <v>-10.5815944672</v>
      </c>
      <c r="D58" s="81">
        <f t="shared" si="11"/>
        <v>5.0118723362727209E-4</v>
      </c>
      <c r="E58" s="81">
        <f t="shared" si="11"/>
        <v>8.7466259296164778E-2</v>
      </c>
      <c r="F58" s="81">
        <f t="shared" si="1"/>
        <v>22.418405532800001</v>
      </c>
      <c r="G58" s="120">
        <v>41</v>
      </c>
      <c r="H58" s="120">
        <v>66.5</v>
      </c>
      <c r="I58" s="120">
        <v>7.5</v>
      </c>
      <c r="J58" s="81">
        <f t="shared" si="2"/>
        <v>115</v>
      </c>
      <c r="K58" s="112">
        <f t="shared" si="3"/>
        <v>41</v>
      </c>
      <c r="L58" s="112">
        <f t="shared" si="4"/>
        <v>119.7</v>
      </c>
      <c r="M58" s="112">
        <f t="shared" si="5"/>
        <v>30</v>
      </c>
      <c r="N58" s="81">
        <f t="shared" si="6"/>
        <v>190.7</v>
      </c>
      <c r="O58" s="81">
        <f t="shared" si="7"/>
        <v>80.449999999999989</v>
      </c>
      <c r="P58" s="81">
        <f t="shared" si="8"/>
        <v>8.6965072062537507E-2</v>
      </c>
      <c r="Q58" s="113">
        <f t="shared" si="10"/>
        <v>0.10809828721260102</v>
      </c>
      <c r="R58" s="113">
        <f t="shared" si="9"/>
        <v>0.10872126699336829</v>
      </c>
      <c r="S58" s="81"/>
      <c r="T58" s="119">
        <v>-12.33140564</v>
      </c>
      <c r="U58" s="119">
        <v>7.4873450965279336</v>
      </c>
      <c r="V58" s="114">
        <f>SQRT(U58^2-$V$19^2)</f>
        <v>7.4444836351825563</v>
      </c>
      <c r="W58" s="121">
        <v>-29.3767518997</v>
      </c>
    </row>
    <row r="59" spans="2:23" x14ac:dyDescent="0.6">
      <c r="B59" s="111">
        <v>-32</v>
      </c>
      <c r="C59" s="119">
        <v>-9.7409992217999992</v>
      </c>
      <c r="D59" s="81">
        <f t="shared" si="11"/>
        <v>6.3095734448019244E-4</v>
      </c>
      <c r="E59" s="81">
        <f t="shared" si="11"/>
        <v>0.1061451311103684</v>
      </c>
      <c r="F59" s="81">
        <f t="shared" si="1"/>
        <v>22.259000778200001</v>
      </c>
      <c r="G59" s="120">
        <v>41</v>
      </c>
      <c r="H59" s="120">
        <v>66.5</v>
      </c>
      <c r="I59" s="120">
        <v>7.5</v>
      </c>
      <c r="J59" s="81">
        <f t="shared" si="2"/>
        <v>115</v>
      </c>
      <c r="K59" s="112">
        <f t="shared" si="3"/>
        <v>41</v>
      </c>
      <c r="L59" s="112">
        <f t="shared" si="4"/>
        <v>119.7</v>
      </c>
      <c r="M59" s="112">
        <f t="shared" si="5"/>
        <v>30</v>
      </c>
      <c r="N59" s="81">
        <f t="shared" si="6"/>
        <v>190.7</v>
      </c>
      <c r="O59" s="81">
        <f t="shared" si="7"/>
        <v>80.449999999999989</v>
      </c>
      <c r="P59" s="81">
        <f t="shared" si="8"/>
        <v>0.1055141737658882</v>
      </c>
      <c r="Q59" s="113">
        <f t="shared" si="10"/>
        <v>0.13115497049830729</v>
      </c>
      <c r="R59" s="113">
        <f t="shared" si="9"/>
        <v>0.13193925557534919</v>
      </c>
      <c r="S59" s="81"/>
      <c r="T59" s="119">
        <v>-11.56909561</v>
      </c>
      <c r="U59" s="119">
        <v>9.2053433841844932</v>
      </c>
      <c r="V59" s="114">
        <f>SQRT(U59^2-$V$19^2)</f>
        <v>9.1705150793589123</v>
      </c>
      <c r="W59" s="121">
        <v>-27.711405754099999</v>
      </c>
    </row>
    <row r="60" spans="2:23" x14ac:dyDescent="0.6">
      <c r="B60" s="111">
        <v>-31</v>
      </c>
      <c r="C60" s="119">
        <v>-8.8526744842500005</v>
      </c>
      <c r="D60" s="81">
        <f t="shared" si="11"/>
        <v>7.9432823472428099E-4</v>
      </c>
      <c r="E60" s="81">
        <f t="shared" si="11"/>
        <v>0.13023645057487965</v>
      </c>
      <c r="F60" s="81">
        <f t="shared" si="1"/>
        <v>22.147325515749998</v>
      </c>
      <c r="G60" s="120">
        <v>41</v>
      </c>
      <c r="H60" s="120">
        <v>67.5</v>
      </c>
      <c r="I60" s="120">
        <v>7.5</v>
      </c>
      <c r="J60" s="81">
        <f t="shared" si="2"/>
        <v>116</v>
      </c>
      <c r="K60" s="112">
        <f t="shared" si="3"/>
        <v>41</v>
      </c>
      <c r="L60" s="112">
        <f t="shared" si="4"/>
        <v>121.5</v>
      </c>
      <c r="M60" s="112">
        <f t="shared" si="5"/>
        <v>30</v>
      </c>
      <c r="N60" s="81">
        <f t="shared" si="6"/>
        <v>192.5</v>
      </c>
      <c r="O60" s="81">
        <f t="shared" si="7"/>
        <v>82.25</v>
      </c>
      <c r="P60" s="81">
        <f t="shared" si="8"/>
        <v>0.12944212234015537</v>
      </c>
      <c r="Q60" s="113">
        <f t="shared" si="10"/>
        <v>0.1573764405351433</v>
      </c>
      <c r="R60" s="113">
        <f t="shared" si="9"/>
        <v>0.15834218914878984</v>
      </c>
      <c r="S60" s="81"/>
      <c r="T60" s="119">
        <v>-10.849601740000001</v>
      </c>
      <c r="U60" s="119">
        <v>10.826022790126833</v>
      </c>
      <c r="V60" s="114">
        <f>SQRT(U60^2-$V$19^2)</f>
        <v>10.796423919629389</v>
      </c>
      <c r="W60" s="121">
        <v>-26.000259399400001</v>
      </c>
    </row>
    <row r="61" spans="2:23" x14ac:dyDescent="0.6">
      <c r="B61" s="111">
        <v>-30</v>
      </c>
      <c r="C61" s="119">
        <v>-8.1441812515300001</v>
      </c>
      <c r="D61" s="81">
        <f t="shared" si="11"/>
        <v>1E-3</v>
      </c>
      <c r="E61" s="81">
        <f t="shared" si="11"/>
        <v>0.15331402125419713</v>
      </c>
      <c r="F61" s="81">
        <f t="shared" si="1"/>
        <v>21.85581874847</v>
      </c>
      <c r="G61" s="120">
        <v>41</v>
      </c>
      <c r="H61" s="120">
        <v>67.5</v>
      </c>
      <c r="I61" s="120">
        <v>7.5</v>
      </c>
      <c r="J61" s="81">
        <f t="shared" si="2"/>
        <v>116</v>
      </c>
      <c r="K61" s="112">
        <f t="shared" si="3"/>
        <v>41</v>
      </c>
      <c r="L61" s="112">
        <f t="shared" si="4"/>
        <v>121.5</v>
      </c>
      <c r="M61" s="112">
        <f t="shared" si="5"/>
        <v>30</v>
      </c>
      <c r="N61" s="81">
        <f t="shared" si="6"/>
        <v>192.5</v>
      </c>
      <c r="O61" s="81">
        <f t="shared" si="7"/>
        <v>82.25</v>
      </c>
      <c r="P61" s="81">
        <f t="shared" si="8"/>
        <v>0.15231402125419713</v>
      </c>
      <c r="Q61" s="113">
        <f t="shared" si="10"/>
        <v>0.18518422036984453</v>
      </c>
      <c r="R61" s="113">
        <f t="shared" si="9"/>
        <v>0.18640002584096915</v>
      </c>
      <c r="S61" s="81"/>
      <c r="T61" s="119">
        <v>-10.175533290000001</v>
      </c>
      <c r="U61" s="119">
        <v>12.414286287859607</v>
      </c>
      <c r="V61" s="114">
        <f>SQRT(U61^2-$V$19^2)</f>
        <v>12.388482717303967</v>
      </c>
      <c r="W61" s="121">
        <v>-24.4243035316</v>
      </c>
    </row>
    <row r="62" spans="2:23" x14ac:dyDescent="0.6">
      <c r="B62" s="111">
        <v>-29</v>
      </c>
      <c r="C62" s="119">
        <v>-7.4650707244900003</v>
      </c>
      <c r="D62" s="81">
        <f t="shared" si="11"/>
        <v>1.2589254117941662E-3</v>
      </c>
      <c r="E62" s="81">
        <f t="shared" si="11"/>
        <v>0.17926393591470899</v>
      </c>
      <c r="F62" s="81">
        <f t="shared" si="1"/>
        <v>21.534929275509999</v>
      </c>
      <c r="G62" s="123">
        <v>41</v>
      </c>
      <c r="H62" s="123">
        <v>68.5</v>
      </c>
      <c r="I62" s="123">
        <v>7.5</v>
      </c>
      <c r="J62" s="81">
        <f t="shared" si="2"/>
        <v>117</v>
      </c>
      <c r="K62" s="112">
        <f t="shared" si="3"/>
        <v>41</v>
      </c>
      <c r="L62" s="112">
        <f t="shared" si="4"/>
        <v>123.3</v>
      </c>
      <c r="M62" s="112">
        <f t="shared" si="5"/>
        <v>30</v>
      </c>
      <c r="N62" s="81">
        <f t="shared" si="6"/>
        <v>194.3</v>
      </c>
      <c r="O62" s="81">
        <f t="shared" si="7"/>
        <v>84.050000000000011</v>
      </c>
      <c r="P62" s="81">
        <f t="shared" si="8"/>
        <v>0.17800501050291481</v>
      </c>
      <c r="Q62" s="113">
        <f t="shared" si="10"/>
        <v>0.21178466448889327</v>
      </c>
      <c r="R62" s="113">
        <f t="shared" si="9"/>
        <v>0.2132824936522415</v>
      </c>
      <c r="S62" s="81"/>
      <c r="T62" s="119">
        <v>-9.5874099729999998</v>
      </c>
      <c r="U62" s="119">
        <v>13.752165366573227</v>
      </c>
      <c r="V62" s="114">
        <f>SQRT(U62^2-$V$19^2)</f>
        <v>13.728876584395977</v>
      </c>
      <c r="W62" s="121">
        <v>-23.103187560999999</v>
      </c>
    </row>
    <row r="63" spans="2:23" x14ac:dyDescent="0.6">
      <c r="B63" s="111">
        <v>-28</v>
      </c>
      <c r="C63" s="119">
        <v>-6.8428802490200002</v>
      </c>
      <c r="D63" s="81">
        <f t="shared" si="11"/>
        <v>1.5848931924611134E-3</v>
      </c>
      <c r="E63" s="81">
        <f t="shared" si="11"/>
        <v>0.2068768882388978</v>
      </c>
      <c r="F63" s="81">
        <f t="shared" si="1"/>
        <v>21.157119750980002</v>
      </c>
      <c r="G63" s="120">
        <v>41</v>
      </c>
      <c r="H63" s="120">
        <v>69</v>
      </c>
      <c r="I63" s="120">
        <v>7.5</v>
      </c>
      <c r="J63" s="81">
        <f t="shared" si="2"/>
        <v>117.5</v>
      </c>
      <c r="K63" s="112">
        <f t="shared" si="3"/>
        <v>41</v>
      </c>
      <c r="L63" s="112">
        <f t="shared" si="4"/>
        <v>124.2</v>
      </c>
      <c r="M63" s="112">
        <f t="shared" si="5"/>
        <v>30</v>
      </c>
      <c r="N63" s="81">
        <f t="shared" si="6"/>
        <v>195.2</v>
      </c>
      <c r="O63" s="81">
        <f t="shared" si="7"/>
        <v>84.949999999999989</v>
      </c>
      <c r="P63" s="81">
        <f t="shared" si="8"/>
        <v>0.20529199504643669</v>
      </c>
      <c r="Q63" s="113">
        <f t="shared" si="10"/>
        <v>0.24166214837720626</v>
      </c>
      <c r="R63" s="113">
        <f t="shared" si="9"/>
        <v>0.24352782606109222</v>
      </c>
      <c r="S63" s="81"/>
      <c r="T63" s="119">
        <v>-9.0596771240000002</v>
      </c>
      <c r="U63" s="119">
        <v>14.861892889638861</v>
      </c>
      <c r="V63" s="114">
        <f>SQRT(U63^2-$V$19^2)</f>
        <v>14.840345692169645</v>
      </c>
      <c r="W63" s="121">
        <v>-21.810338020300001</v>
      </c>
    </row>
    <row r="64" spans="2:23" x14ac:dyDescent="0.6">
      <c r="B64" s="111">
        <v>-27</v>
      </c>
      <c r="C64" s="119">
        <v>-6.4135642051700001</v>
      </c>
      <c r="D64" s="81">
        <f t="shared" si="11"/>
        <v>1.9952623149688781E-3</v>
      </c>
      <c r="E64" s="81">
        <f t="shared" si="11"/>
        <v>0.22837238080623856</v>
      </c>
      <c r="F64" s="81">
        <f t="shared" si="1"/>
        <v>20.586435794829999</v>
      </c>
      <c r="G64" s="120">
        <v>41</v>
      </c>
      <c r="H64" s="120">
        <v>69.5</v>
      </c>
      <c r="I64" s="120">
        <v>7.5</v>
      </c>
      <c r="J64" s="81">
        <f t="shared" si="2"/>
        <v>118</v>
      </c>
      <c r="K64" s="112">
        <f t="shared" si="3"/>
        <v>41</v>
      </c>
      <c r="L64" s="112">
        <f t="shared" si="4"/>
        <v>125.10000000000001</v>
      </c>
      <c r="M64" s="112">
        <f t="shared" si="5"/>
        <v>30</v>
      </c>
      <c r="N64" s="81">
        <f t="shared" si="6"/>
        <v>196.10000000000002</v>
      </c>
      <c r="O64" s="81">
        <f t="shared" si="7"/>
        <v>85.850000000000023</v>
      </c>
      <c r="P64" s="81">
        <f t="shared" si="8"/>
        <v>0.22637711849126968</v>
      </c>
      <c r="Q64" s="113">
        <f t="shared" si="10"/>
        <v>0.26368913044993553</v>
      </c>
      <c r="R64" s="113">
        <f t="shared" si="9"/>
        <v>0.26601325661763364</v>
      </c>
      <c r="S64" s="81"/>
      <c r="T64" s="119">
        <v>-8.6088523860000006</v>
      </c>
      <c r="U64" s="119">
        <v>15.809583929906957</v>
      </c>
      <c r="V64" s="114">
        <f>SQRT(U64^2-$V$19^2)</f>
        <v>15.789330069283254</v>
      </c>
      <c r="W64" s="121">
        <v>-20.785663604700002</v>
      </c>
    </row>
    <row r="65" spans="2:29" x14ac:dyDescent="0.6">
      <c r="B65" s="111">
        <v>-26</v>
      </c>
      <c r="C65" s="119">
        <v>-6.0197982788099997</v>
      </c>
      <c r="D65" s="81">
        <f t="shared" si="11"/>
        <v>2.5118864315095777E-3</v>
      </c>
      <c r="E65" s="81">
        <f t="shared" si="11"/>
        <v>0.2500461500486244</v>
      </c>
      <c r="F65" s="81">
        <f t="shared" si="1"/>
        <v>19.980201721189999</v>
      </c>
      <c r="G65" s="120">
        <v>41</v>
      </c>
      <c r="H65" s="120">
        <v>70.5</v>
      </c>
      <c r="I65" s="120">
        <v>7.5</v>
      </c>
      <c r="J65" s="81">
        <f t="shared" si="2"/>
        <v>119</v>
      </c>
      <c r="K65" s="112">
        <f t="shared" si="3"/>
        <v>41</v>
      </c>
      <c r="L65" s="112">
        <f t="shared" si="4"/>
        <v>126.9</v>
      </c>
      <c r="M65" s="112">
        <f t="shared" si="5"/>
        <v>30</v>
      </c>
      <c r="N65" s="81">
        <f t="shared" si="6"/>
        <v>197.9</v>
      </c>
      <c r="O65" s="81">
        <f t="shared" si="7"/>
        <v>87.65</v>
      </c>
      <c r="P65" s="81">
        <f t="shared" si="8"/>
        <v>0.24753426361711484</v>
      </c>
      <c r="Q65" s="113">
        <f t="shared" si="10"/>
        <v>0.28241216613475739</v>
      </c>
      <c r="R65" s="113">
        <f t="shared" si="9"/>
        <v>0.28527798066015331</v>
      </c>
      <c r="S65" s="81"/>
      <c r="T65" s="119">
        <v>-8.1932296749999995</v>
      </c>
      <c r="U65" s="119">
        <v>16.730928394137553</v>
      </c>
      <c r="V65" s="114">
        <f>SQRT(U65^2-$V$19^2)</f>
        <v>16.711791194535618</v>
      </c>
      <c r="W65" s="121">
        <v>-19.725083827999999</v>
      </c>
    </row>
    <row r="66" spans="2:29" x14ac:dyDescent="0.6">
      <c r="B66" s="111">
        <v>-25</v>
      </c>
      <c r="C66" s="119">
        <v>-5.7509140968299999</v>
      </c>
      <c r="D66" s="81">
        <f t="shared" si="11"/>
        <v>3.1622776601683764E-3</v>
      </c>
      <c r="E66" s="81">
        <f t="shared" si="11"/>
        <v>0.26601650931164916</v>
      </c>
      <c r="F66" s="81">
        <f t="shared" si="1"/>
        <v>19.249085903169998</v>
      </c>
      <c r="G66" s="120">
        <v>41</v>
      </c>
      <c r="H66" s="120">
        <v>72</v>
      </c>
      <c r="I66" s="120">
        <v>7.5</v>
      </c>
      <c r="J66" s="81">
        <f t="shared" si="2"/>
        <v>120.5</v>
      </c>
      <c r="K66" s="112">
        <f t="shared" si="3"/>
        <v>41</v>
      </c>
      <c r="L66" s="112">
        <f t="shared" si="4"/>
        <v>129.6</v>
      </c>
      <c r="M66" s="112">
        <f t="shared" si="5"/>
        <v>30</v>
      </c>
      <c r="N66" s="81">
        <f t="shared" si="6"/>
        <v>200.6</v>
      </c>
      <c r="O66" s="81">
        <f t="shared" si="7"/>
        <v>90.35</v>
      </c>
      <c r="P66" s="81">
        <f t="shared" si="8"/>
        <v>0.26285423165148081</v>
      </c>
      <c r="Q66" s="113">
        <f t="shared" si="10"/>
        <v>0.29092886735083656</v>
      </c>
      <c r="R66" s="113">
        <f t="shared" si="9"/>
        <v>0.2944288979653007</v>
      </c>
      <c r="S66" s="81"/>
      <c r="T66" s="119">
        <v>-7.8344688419999997</v>
      </c>
      <c r="U66" s="119">
        <v>17.565677601642854</v>
      </c>
      <c r="V66" s="114">
        <f>SQRT(U66^2-$V$19^2)</f>
        <v>17.547450800753296</v>
      </c>
      <c r="W66" s="121">
        <v>-18.877714157100002</v>
      </c>
    </row>
    <row r="67" spans="2:29" x14ac:dyDescent="0.6">
      <c r="B67" s="111">
        <v>-24</v>
      </c>
      <c r="C67" s="119">
        <v>-5.5146098136899999</v>
      </c>
      <c r="D67" s="81">
        <f t="shared" si="11"/>
        <v>3.9810717055349717E-3</v>
      </c>
      <c r="E67" s="81">
        <f t="shared" si="11"/>
        <v>0.28089177250438391</v>
      </c>
      <c r="F67" s="81">
        <f t="shared" si="1"/>
        <v>18.485390186309999</v>
      </c>
      <c r="G67" s="120">
        <v>41</v>
      </c>
      <c r="H67" s="120">
        <v>73.5</v>
      </c>
      <c r="I67" s="120">
        <v>7.5</v>
      </c>
      <c r="J67" s="81">
        <f t="shared" si="2"/>
        <v>122</v>
      </c>
      <c r="K67" s="112">
        <f t="shared" si="3"/>
        <v>41</v>
      </c>
      <c r="L67" s="112">
        <f t="shared" si="4"/>
        <v>132.30000000000001</v>
      </c>
      <c r="M67" s="112">
        <f t="shared" si="5"/>
        <v>30</v>
      </c>
      <c r="N67" s="81">
        <f t="shared" si="6"/>
        <v>203.3</v>
      </c>
      <c r="O67" s="81">
        <f t="shared" si="7"/>
        <v>93.050000000000011</v>
      </c>
      <c r="P67" s="81">
        <f t="shared" si="8"/>
        <v>0.27691070079884894</v>
      </c>
      <c r="Q67" s="113">
        <f t="shared" si="10"/>
        <v>0.29759344524325515</v>
      </c>
      <c r="R67" s="113">
        <f t="shared" si="9"/>
        <v>0.30187186728036958</v>
      </c>
      <c r="S67" s="81"/>
      <c r="T67" s="119">
        <v>-7.5360374449999998</v>
      </c>
      <c r="U67" s="119">
        <v>18.354134567141617</v>
      </c>
      <c r="V67" s="114">
        <f>SQRT(U67^2-$V$19^2)</f>
        <v>18.336691514794669</v>
      </c>
      <c r="W67" s="121">
        <v>-18.159805774700001</v>
      </c>
    </row>
    <row r="68" spans="2:29" x14ac:dyDescent="0.6">
      <c r="B68" s="111">
        <v>-23</v>
      </c>
      <c r="C68" s="119">
        <v>-5.3244981765699997</v>
      </c>
      <c r="D68" s="81">
        <f t="shared" si="11"/>
        <v>5.0118723362727212E-3</v>
      </c>
      <c r="E68" s="81">
        <f t="shared" si="11"/>
        <v>0.29346085757894452</v>
      </c>
      <c r="F68" s="81">
        <f t="shared" si="1"/>
        <v>17.67550182343</v>
      </c>
      <c r="G68" s="120">
        <v>41</v>
      </c>
      <c r="H68" s="120">
        <v>75.5</v>
      </c>
      <c r="I68" s="120">
        <v>7.5</v>
      </c>
      <c r="J68" s="81">
        <f t="shared" si="2"/>
        <v>124</v>
      </c>
      <c r="K68" s="112">
        <f t="shared" si="3"/>
        <v>41</v>
      </c>
      <c r="L68" s="112">
        <f t="shared" si="4"/>
        <v>135.9</v>
      </c>
      <c r="M68" s="112">
        <f t="shared" si="5"/>
        <v>30</v>
      </c>
      <c r="N68" s="81">
        <f t="shared" si="6"/>
        <v>206.9</v>
      </c>
      <c r="O68" s="81">
        <f t="shared" si="7"/>
        <v>96.65</v>
      </c>
      <c r="P68" s="81">
        <f t="shared" si="8"/>
        <v>0.28844898524267182</v>
      </c>
      <c r="Q68" s="113">
        <f t="shared" si="10"/>
        <v>0.29844695834730661</v>
      </c>
      <c r="R68" s="113">
        <f t="shared" si="9"/>
        <v>0.30363254793475891</v>
      </c>
      <c r="S68" s="81"/>
      <c r="T68" s="119">
        <v>-7.2995529169999998</v>
      </c>
      <c r="U68" s="119">
        <v>19.117638712605185</v>
      </c>
      <c r="V68" s="114">
        <f>SQRT(U68^2-$V$19^2)</f>
        <v>19.100892909644315</v>
      </c>
      <c r="W68" s="121">
        <v>-17.465788841199998</v>
      </c>
    </row>
    <row r="69" spans="2:29" x14ac:dyDescent="0.6">
      <c r="B69" s="111">
        <v>-22</v>
      </c>
      <c r="C69" s="119">
        <v>-5.1964092254600001</v>
      </c>
      <c r="D69" s="81">
        <f t="shared" si="11"/>
        <v>6.3095734448019251E-3</v>
      </c>
      <c r="E69" s="81">
        <f t="shared" si="11"/>
        <v>0.30224496683077701</v>
      </c>
      <c r="F69" s="81">
        <f t="shared" si="1"/>
        <v>16.803590774539998</v>
      </c>
      <c r="G69" s="120">
        <v>41</v>
      </c>
      <c r="H69" s="120">
        <v>77</v>
      </c>
      <c r="I69" s="120">
        <v>7.5</v>
      </c>
      <c r="J69" s="81">
        <f t="shared" si="2"/>
        <v>125.5</v>
      </c>
      <c r="K69" s="112">
        <f t="shared" si="3"/>
        <v>41</v>
      </c>
      <c r="L69" s="112">
        <f t="shared" si="4"/>
        <v>138.6</v>
      </c>
      <c r="M69" s="112">
        <f t="shared" si="5"/>
        <v>30</v>
      </c>
      <c r="N69" s="81">
        <f t="shared" si="6"/>
        <v>209.6</v>
      </c>
      <c r="O69" s="81">
        <f t="shared" si="7"/>
        <v>99.35</v>
      </c>
      <c r="P69" s="81">
        <f t="shared" si="8"/>
        <v>0.29593539338597508</v>
      </c>
      <c r="Q69" s="113">
        <f t="shared" si="10"/>
        <v>0.29787155851633124</v>
      </c>
      <c r="R69" s="113">
        <f t="shared" si="9"/>
        <v>0.30422241251210574</v>
      </c>
      <c r="S69" s="81"/>
      <c r="T69" s="119">
        <v>-7.0944557189999999</v>
      </c>
      <c r="U69" s="119">
        <v>19.786608665918287</v>
      </c>
      <c r="V69" s="114">
        <f>SQRT(U69^2-$V$19^2)</f>
        <v>19.770429497059308</v>
      </c>
      <c r="W69" s="121">
        <v>-16.9194531441</v>
      </c>
    </row>
    <row r="70" spans="2:29" x14ac:dyDescent="0.6">
      <c r="B70" s="111">
        <v>-21</v>
      </c>
      <c r="C70" s="119">
        <v>-5.0916719436599998</v>
      </c>
      <c r="D70" s="81">
        <f t="shared" si="11"/>
        <v>7.9432823472428121E-3</v>
      </c>
      <c r="E70" s="81">
        <f t="shared" si="11"/>
        <v>0.30962270865463104</v>
      </c>
      <c r="F70" s="81">
        <f t="shared" si="1"/>
        <v>15.90832805634</v>
      </c>
      <c r="G70" s="123">
        <v>41</v>
      </c>
      <c r="H70" s="123">
        <v>79</v>
      </c>
      <c r="I70" s="123">
        <v>7.5</v>
      </c>
      <c r="J70" s="81">
        <f t="shared" si="2"/>
        <v>127.5</v>
      </c>
      <c r="K70" s="112">
        <f t="shared" si="3"/>
        <v>41</v>
      </c>
      <c r="L70" s="112">
        <f t="shared" si="4"/>
        <v>142.20000000000002</v>
      </c>
      <c r="M70" s="112">
        <f t="shared" si="5"/>
        <v>30</v>
      </c>
      <c r="N70" s="81">
        <f t="shared" si="6"/>
        <v>213.20000000000002</v>
      </c>
      <c r="O70" s="81">
        <f t="shared" si="7"/>
        <v>102.95000000000002</v>
      </c>
      <c r="P70" s="81">
        <f t="shared" si="8"/>
        <v>0.30167942630738825</v>
      </c>
      <c r="Q70" s="113">
        <f t="shared" si="10"/>
        <v>0.29303489685030421</v>
      </c>
      <c r="R70" s="113">
        <f t="shared" si="9"/>
        <v>0.30075056693019037</v>
      </c>
      <c r="S70" s="81"/>
      <c r="T70" s="119">
        <v>-6.9141082760000003</v>
      </c>
      <c r="U70" s="119">
        <v>20.462463064351148</v>
      </c>
      <c r="V70" s="114">
        <f>SQRT(U70^2-$V$19^2)</f>
        <v>20.446818692890467</v>
      </c>
      <c r="W70" s="121">
        <v>-16.417784214000001</v>
      </c>
    </row>
    <row r="71" spans="2:29" x14ac:dyDescent="0.6">
      <c r="B71" s="111">
        <v>-20</v>
      </c>
      <c r="C71" s="119">
        <v>-5.0239558219899996</v>
      </c>
      <c r="D71" s="81">
        <f t="shared" si="11"/>
        <v>0.01</v>
      </c>
      <c r="E71" s="81">
        <f t="shared" si="11"/>
        <v>0.31448824561993255</v>
      </c>
      <c r="F71" s="81">
        <f t="shared" si="1"/>
        <v>14.97604417801</v>
      </c>
      <c r="G71" s="120">
        <v>41</v>
      </c>
      <c r="H71" s="120">
        <v>81</v>
      </c>
      <c r="I71" s="120">
        <v>7.5</v>
      </c>
      <c r="J71" s="81">
        <f t="shared" si="2"/>
        <v>129.5</v>
      </c>
      <c r="K71" s="112">
        <f t="shared" si="3"/>
        <v>41</v>
      </c>
      <c r="L71" s="112">
        <f t="shared" si="4"/>
        <v>145.80000000000001</v>
      </c>
      <c r="M71" s="112">
        <f t="shared" si="5"/>
        <v>30</v>
      </c>
      <c r="N71" s="81">
        <f t="shared" si="6"/>
        <v>216.8</v>
      </c>
      <c r="O71" s="81">
        <f t="shared" si="7"/>
        <v>106.55000000000001</v>
      </c>
      <c r="P71" s="81">
        <f t="shared" si="8"/>
        <v>0.30448824561993254</v>
      </c>
      <c r="Q71" s="113">
        <f t="shared" si="10"/>
        <v>0.28577029152504224</v>
      </c>
      <c r="R71" s="113">
        <f t="shared" si="9"/>
        <v>0.29515555665878229</v>
      </c>
      <c r="S71" s="81"/>
      <c r="T71" s="119">
        <v>-6.7676773069999996</v>
      </c>
      <c r="U71" s="119">
        <v>21.085863656721109</v>
      </c>
      <c r="V71" s="114">
        <f>SQRT(U71^2-$V$19^2)</f>
        <v>21.07068214723558</v>
      </c>
      <c r="W71" s="121">
        <v>-15.9709234238</v>
      </c>
    </row>
    <row r="72" spans="2:29" x14ac:dyDescent="0.6">
      <c r="B72" s="118" t="s">
        <v>78</v>
      </c>
      <c r="C72" s="118"/>
      <c r="D72" s="118"/>
      <c r="E72" s="118"/>
      <c r="F72" s="118"/>
      <c r="G72" s="118"/>
      <c r="H72" s="118"/>
      <c r="I72" s="118"/>
      <c r="J72" s="118"/>
      <c r="K72" s="118"/>
      <c r="L72" s="118"/>
      <c r="M72" s="118"/>
      <c r="N72" s="118"/>
      <c r="O72" s="118"/>
      <c r="P72" s="118"/>
      <c r="Q72" s="118"/>
      <c r="R72" s="118"/>
      <c r="S72" s="118"/>
      <c r="T72" s="118"/>
      <c r="U72" s="118"/>
      <c r="V72" s="118"/>
      <c r="W72" s="118"/>
    </row>
    <row r="73" spans="2:29" x14ac:dyDescent="0.6">
      <c r="B73" s="118"/>
      <c r="C73" s="118"/>
      <c r="D73" s="118"/>
      <c r="E73" s="118"/>
      <c r="F73" s="118"/>
      <c r="G73" s="118"/>
      <c r="H73" s="118"/>
      <c r="I73" s="118"/>
      <c r="J73" s="118"/>
      <c r="K73" s="118"/>
      <c r="L73" s="118"/>
      <c r="M73" s="118"/>
      <c r="N73" s="118"/>
      <c r="O73" s="118"/>
      <c r="P73" s="118"/>
      <c r="Q73" s="118"/>
      <c r="R73" s="118"/>
      <c r="S73" s="118"/>
      <c r="T73" s="118"/>
      <c r="U73" s="118"/>
      <c r="V73" s="118"/>
      <c r="W73" s="118"/>
    </row>
    <row r="74" spans="2:29" x14ac:dyDescent="0.6">
      <c r="B74" s="118"/>
      <c r="C74" s="118"/>
      <c r="D74" s="118"/>
      <c r="E74" s="118"/>
      <c r="F74" s="118"/>
      <c r="G74" s="118"/>
      <c r="H74" s="118"/>
      <c r="I74" s="118"/>
      <c r="J74" s="118"/>
      <c r="K74" s="118"/>
      <c r="L74" s="118"/>
      <c r="M74" s="118"/>
      <c r="N74" s="118"/>
      <c r="O74" s="118"/>
      <c r="P74" s="118"/>
      <c r="Q74" s="118"/>
      <c r="R74" s="118"/>
      <c r="S74" s="118"/>
      <c r="T74" s="118"/>
      <c r="U74" s="118"/>
      <c r="V74" s="118"/>
      <c r="W74" s="118"/>
    </row>
    <row r="77" spans="2:29" ht="16.5" customHeight="1" x14ac:dyDescent="0.6"/>
    <row r="80" spans="2:29" x14ac:dyDescent="0.6">
      <c r="AC80" s="84"/>
    </row>
    <row r="81" spans="29:29" x14ac:dyDescent="0.6">
      <c r="AC81" s="84"/>
    </row>
    <row r="82" spans="29:29" ht="16.5" customHeight="1" x14ac:dyDescent="0.6">
      <c r="AC82" s="84"/>
    </row>
    <row r="83" spans="29:29" x14ac:dyDescent="0.6">
      <c r="AC83" s="84"/>
    </row>
    <row r="84" spans="29:29" x14ac:dyDescent="0.6">
      <c r="AC84" s="84"/>
    </row>
    <row r="85" spans="29:29" x14ac:dyDescent="0.6">
      <c r="AC85" s="84"/>
    </row>
    <row r="86" spans="29:29" x14ac:dyDescent="0.6">
      <c r="AC86" s="84"/>
    </row>
    <row r="87" spans="29:29" x14ac:dyDescent="0.6">
      <c r="AC87" s="84"/>
    </row>
    <row r="88" spans="29:29" x14ac:dyDescent="0.6">
      <c r="AC88" s="84"/>
    </row>
    <row r="89" spans="29:29" x14ac:dyDescent="0.6">
      <c r="AC89" s="84"/>
    </row>
    <row r="90" spans="29:29" x14ac:dyDescent="0.6">
      <c r="AC90" s="84"/>
    </row>
    <row r="91" spans="29:29" x14ac:dyDescent="0.6">
      <c r="AC91" s="84"/>
    </row>
    <row r="92" spans="29:29" x14ac:dyDescent="0.6">
      <c r="AC92" s="84"/>
    </row>
    <row r="93" spans="29:29" x14ac:dyDescent="0.6">
      <c r="AC93" s="84"/>
    </row>
    <row r="94" spans="29:29" x14ac:dyDescent="0.6">
      <c r="AC94" s="84"/>
    </row>
    <row r="95" spans="29:29" x14ac:dyDescent="0.6">
      <c r="AC95" s="84"/>
    </row>
    <row r="96" spans="29:29" x14ac:dyDescent="0.6">
      <c r="AC96" s="84"/>
    </row>
    <row r="97" spans="29:29" x14ac:dyDescent="0.6">
      <c r="AC97" s="84"/>
    </row>
    <row r="98" spans="29:29" x14ac:dyDescent="0.6">
      <c r="AC98" s="84"/>
    </row>
    <row r="99" spans="29:29" x14ac:dyDescent="0.6">
      <c r="AC99" s="84"/>
    </row>
    <row r="100" spans="29:29" x14ac:dyDescent="0.6">
      <c r="AC100" s="84"/>
    </row>
    <row r="101" spans="29:29" x14ac:dyDescent="0.6">
      <c r="AC101" s="84"/>
    </row>
    <row r="102" spans="29:29" x14ac:dyDescent="0.6">
      <c r="AC102" s="84"/>
    </row>
    <row r="103" spans="29:29" x14ac:dyDescent="0.6">
      <c r="AC103" s="84"/>
    </row>
    <row r="104" spans="29:29" x14ac:dyDescent="0.6">
      <c r="AC104" s="84"/>
    </row>
    <row r="105" spans="29:29" x14ac:dyDescent="0.6">
      <c r="AC105" s="84"/>
    </row>
    <row r="106" spans="29:29" x14ac:dyDescent="0.6">
      <c r="AC106" s="84"/>
    </row>
    <row r="107" spans="29:29" x14ac:dyDescent="0.6">
      <c r="AC107" s="84"/>
    </row>
    <row r="108" spans="29:29" x14ac:dyDescent="0.6">
      <c r="AC108" s="84"/>
    </row>
    <row r="109" spans="29:29" x14ac:dyDescent="0.6">
      <c r="AC109" s="84"/>
    </row>
    <row r="110" spans="29:29" x14ac:dyDescent="0.6">
      <c r="AC110" s="84"/>
    </row>
    <row r="111" spans="29:29" x14ac:dyDescent="0.6">
      <c r="AC111" s="84"/>
    </row>
    <row r="112" spans="29:29" x14ac:dyDescent="0.6">
      <c r="AC112" s="84"/>
    </row>
    <row r="113" spans="29:29" x14ac:dyDescent="0.6">
      <c r="AC113" s="84"/>
    </row>
    <row r="114" spans="29:29" x14ac:dyDescent="0.6">
      <c r="AC114" s="84"/>
    </row>
    <row r="115" spans="29:29" x14ac:dyDescent="0.6">
      <c r="AC115" s="84"/>
    </row>
    <row r="116" spans="29:29" x14ac:dyDescent="0.6">
      <c r="AC116" s="84"/>
    </row>
    <row r="117" spans="29:29" x14ac:dyDescent="0.6">
      <c r="AC117" s="84"/>
    </row>
    <row r="118" spans="29:29" x14ac:dyDescent="0.6">
      <c r="AC118" s="84"/>
    </row>
    <row r="119" spans="29:29" x14ac:dyDescent="0.6">
      <c r="AC119" s="84"/>
    </row>
    <row r="120" spans="29:29" x14ac:dyDescent="0.6">
      <c r="AC120" s="84"/>
    </row>
    <row r="121" spans="29:29" x14ac:dyDescent="0.6">
      <c r="AC121" s="84"/>
    </row>
    <row r="122" spans="29:29" x14ac:dyDescent="0.6">
      <c r="AC122" s="84"/>
    </row>
    <row r="123" spans="29:29" x14ac:dyDescent="0.6">
      <c r="AC123" s="84"/>
    </row>
    <row r="124" spans="29:29" x14ac:dyDescent="0.6">
      <c r="AC124" s="84"/>
    </row>
    <row r="125" spans="29:29" x14ac:dyDescent="0.6">
      <c r="AC125" s="84"/>
    </row>
    <row r="126" spans="29:29" x14ac:dyDescent="0.6">
      <c r="AC126" s="84"/>
    </row>
    <row r="135" ht="16.5" customHeight="1" x14ac:dyDescent="0.6"/>
  </sheetData>
  <mergeCells count="7">
    <mergeCell ref="B18:R18"/>
    <mergeCell ref="T18:W18"/>
    <mergeCell ref="B19:Q19"/>
    <mergeCell ref="B72:W74"/>
    <mergeCell ref="Y18:AF19"/>
    <mergeCell ref="B2:V2"/>
    <mergeCell ref="B12:V12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Linearity (Rx)</vt:lpstr>
      <vt:lpstr>Gain Accuracy (Rx)</vt:lpstr>
      <vt:lpstr>Gain Accuracy_B1V0 (Rx)</vt:lpstr>
      <vt:lpstr>Total PDC (Rx)</vt:lpstr>
      <vt:lpstr>Power Sweep, EVM (Rx)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양세진(Sejin Yang) 수석 (주)두산 전자</dc:creator>
  <cp:lastModifiedBy>SEJIN YANG</cp:lastModifiedBy>
  <dcterms:created xsi:type="dcterms:W3CDTF">2025-09-08T17:17:14Z</dcterms:created>
  <dcterms:modified xsi:type="dcterms:W3CDTF">2026-06-25T06:17:04Z</dcterms:modified>
</cp:coreProperties>
</file>