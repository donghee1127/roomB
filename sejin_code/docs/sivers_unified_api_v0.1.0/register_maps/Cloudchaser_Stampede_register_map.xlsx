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pe\Documents\Scripts\Sivers_unified_api\src\sivers_api\data\register_maps\"/>
    </mc:Choice>
  </mc:AlternateContent>
  <xr:revisionPtr revIDLastSave="0" documentId="8_{C1D1B43D-6575-44DE-8E2E-9ECC7D55F238}" xr6:coauthVersionLast="47" xr6:coauthVersionMax="47" xr10:uidLastSave="{00000000-0000-0000-0000-000000000000}"/>
  <bookViews>
    <workbookView xWindow="-120" yWindow="-16320" windowWidth="29040" windowHeight="15720" tabRatio="500" activeTab="7" xr2:uid="{00000000-000D-0000-FFFF-FFFF00000000}"/>
  </bookViews>
  <sheets>
    <sheet name="Setup" sheetId="1" r:id="rId1"/>
    <sheet name="SYS" sheetId="2" r:id="rId2"/>
    <sheet name="CTRL" sheetId="3" r:id="rId3"/>
    <sheet name="CAL" sheetId="4" r:id="rId4"/>
    <sheet name="BIAS" sheetId="6" r:id="rId5"/>
    <sheet name="ADC" sheetId="7" r:id="rId6"/>
    <sheet name="MACRO" sheetId="8" r:id="rId7"/>
    <sheet name="EFUSE_INSTRUCTIONS" sheetId="9" r:id="rId8"/>
  </sheets>
  <externalReferences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9" l="1"/>
  <c r="B11" i="9"/>
  <c r="B10" i="9"/>
  <c r="B9" i="9"/>
  <c r="C8" i="9"/>
  <c r="B8" i="9"/>
  <c r="C7" i="9"/>
  <c r="B7" i="9"/>
  <c r="C6" i="9"/>
  <c r="B6" i="9"/>
  <c r="C5" i="9"/>
  <c r="B5" i="9"/>
  <c r="D2" i="9"/>
  <c r="C2" i="9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8" i="8"/>
  <c r="B7" i="8"/>
  <c r="B6" i="8"/>
  <c r="B5" i="8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B16" i="4"/>
  <c r="B15" i="4"/>
  <c r="B14" i="4"/>
  <c r="B13" i="4"/>
  <c r="B12" i="4"/>
  <c r="B11" i="4"/>
  <c r="B10" i="4"/>
  <c r="B9" i="4"/>
  <c r="B8" i="4"/>
  <c r="B7" i="4"/>
  <c r="B6" i="4"/>
  <c r="B5" i="4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16" i="2"/>
  <c r="B15" i="2"/>
  <c r="B14" i="2"/>
  <c r="B13" i="2"/>
  <c r="B12" i="2"/>
  <c r="B11" i="2"/>
  <c r="B10" i="2"/>
  <c r="B9" i="2"/>
  <c r="B8" i="2"/>
  <c r="B7" i="2"/>
  <c r="B6" i="2"/>
  <c r="B5" i="2"/>
  <c r="B2" i="1"/>
  <c r="C2" i="7" s="1"/>
  <c r="C2" i="6" l="1"/>
  <c r="C2" i="1"/>
  <c r="C2" i="4"/>
  <c r="C2" i="3"/>
  <c r="C2" i="2"/>
  <c r="C2" i="8"/>
  <c r="D2" i="7" l="1"/>
  <c r="D2" i="8"/>
  <c r="D2" i="4"/>
  <c r="D2" i="6"/>
  <c r="D2" i="2"/>
  <c r="D2" i="3"/>
</calcChain>
</file>

<file path=xl/sharedStrings.xml><?xml version="1.0" encoding="utf-8"?>
<sst xmlns="http://schemas.openxmlformats.org/spreadsheetml/2006/main" count="1080" uniqueCount="527">
  <si>
    <t>Revision date</t>
  </si>
  <si>
    <t>Revision</t>
  </si>
  <si>
    <t>Revision history</t>
  </si>
  <si>
    <t>PA1</t>
  </si>
  <si>
    <t>Initial version.</t>
  </si>
  <si>
    <t>PA2</t>
  </si>
  <si>
    <t>Updated d2a_DIST_B0_St2_0_PTAT and d2a_DIST_B0_St2_1_PTAT description with correct related channels</t>
  </si>
  <si>
    <t>Address Offset</t>
  </si>
  <si>
    <t>ED</t>
  </si>
  <si>
    <t>N/A</t>
  </si>
  <si>
    <t>Stampede</t>
  </si>
  <si>
    <t>Address</t>
  </si>
  <si>
    <t>Address hex</t>
  </si>
  <si>
    <t>Reg Name</t>
  </si>
  <si>
    <t>Field Name</t>
  </si>
  <si>
    <t>Description</t>
  </si>
  <si>
    <t>Msb</t>
  </si>
  <si>
    <t>Lsb</t>
  </si>
  <si>
    <t>Bit Length</t>
  </si>
  <si>
    <t>Type</t>
  </si>
  <si>
    <t>Default</t>
  </si>
  <si>
    <t>Signal Name</t>
  </si>
  <si>
    <t>Dir</t>
  </si>
  <si>
    <t>chip_info</t>
  </si>
  <si>
    <t>chip_id</t>
  </si>
  <si>
    <t>R</t>
  </si>
  <si>
    <t>version_id</t>
  </si>
  <si>
    <t>Version identifier</t>
  </si>
  <si>
    <t>uid_low</t>
  </si>
  <si>
    <t>32-bit Unique ID for each chip bits [15:0]</t>
  </si>
  <si>
    <t>uid_high</t>
  </si>
  <si>
    <t>32-bit Unique ID for each chip bits [16:31]</t>
  </si>
  <si>
    <t>status</t>
  </si>
  <si>
    <t>soft_reset</t>
  </si>
  <si>
    <t xml:space="preserve">soft_reset in progress [0] 
</t>
  </si>
  <si>
    <t>reserved</t>
  </si>
  <si>
    <t>reserved_bits[4:1]</t>
  </si>
  <si>
    <t>output_daisy_amp_control</t>
  </si>
  <si>
    <t>reserved_bits[11:0]</t>
  </si>
  <si>
    <t>beam_pd_supply_pwrdn_sw</t>
  </si>
  <si>
    <t>Bits[13:12] = Beam[1:0] PD Supply power-down switches </t>
  </si>
  <si>
    <t>RW</t>
  </si>
  <si>
    <t>reserved_bits[15:14]</t>
  </si>
  <si>
    <t>b0_common_gain</t>
  </si>
  <si>
    <t>Common gain setting for beam0 applied after combining </t>
  </si>
  <si>
    <t>pulse_en_1</t>
  </si>
  <si>
    <t>latch enabled with Pulse_en_1</t>
  </si>
  <si>
    <t>b1_common_gain</t>
  </si>
  <si>
    <t>Common gain setting for beam1 applied after combining </t>
  </si>
  <si>
    <t>center_control</t>
  </si>
  <si>
    <t>centerbias_en</t>
  </si>
  <si>
    <t>Enable for the center bias generator</t>
  </si>
  <si>
    <t>centermirror_en</t>
  </si>
  <si>
    <t>center_pd_override</t>
  </si>
  <si>
    <t>Override global power down for center</t>
  </si>
  <si>
    <t>spi_daisy_chain_disable</t>
  </si>
  <si>
    <t>Disable SPI daisy chain outputs</t>
  </si>
  <si>
    <t>global_power_down</t>
  </si>
  <si>
    <t>Global power down for center and Quads</t>
  </si>
  <si>
    <t>pulse_en_2</t>
  </si>
  <si>
    <t>latch enabled with pulse_en_2</t>
  </si>
  <si>
    <t>ds_sel</t>
  </si>
  <si>
    <t xml:space="preserve">drive strength selection 
Ds_dout[9:8] 
Ds_chain[11:10] 
</t>
  </si>
  <si>
    <t> center_efuse_pwrdn_dis</t>
  </si>
  <si>
    <t>EFUSE power down disable </t>
  </si>
  <si>
    <t>center_dist_b0</t>
  </si>
  <si>
    <t>dist_b0_st1_en</t>
  </si>
  <si>
    <t>Distribution network at Beam 0. 1 for enable and 0 for disable:
CH0 [0]
CH1 [1]
CH2 [2]
CH3 [3]</t>
  </si>
  <si>
    <t>reserved_bits[7:4]</t>
  </si>
  <si>
    <t>N</t>
  </si>
  <si>
    <t>center_bias_beam0_en</t>
  </si>
  <si>
    <t>Bias generation bit</t>
  </si>
  <si>
    <t>beam0_pwrdn</t>
  </si>
  <si>
    <t>Power_down controls for override mode</t>
  </si>
  <si>
    <t>reserved_bits[14]</t>
  </si>
  <si>
    <t>center_dist_b1</t>
  </si>
  <si>
    <t>dist_b1_st1_en</t>
  </si>
  <si>
    <t>Distribution network at Beam 1. 1 for enable and 0 for disable:
CH0 [0]
CH1 [1]
CH2 [2]
CH3 [3]</t>
  </si>
  <si>
    <t>center_bias_beam1_en</t>
  </si>
  <si>
    <t>beam1_pwrdn</t>
  </si>
  <si>
    <t>temp_adc_dctest_pwrdn</t>
  </si>
  <si>
    <t>temp_adc_dctest_pwrdn_ctl</t>
  </si>
  <si>
    <t>Bit 8 is for Temp sensor ADC and DCTEST ADC Supply power-down switches </t>
  </si>
  <si>
    <t>quad0_enables</t>
  </si>
  <si>
    <t>ch0_h_enables</t>
  </si>
  <si>
    <t>1 for enable and 0 for disable for CH0 H combiner:
Beam0 [0], 
Beam1 [1], 
reserved bit [2];</t>
  </si>
  <si>
    <t>ch0_v_enables</t>
  </si>
  <si>
    <t>1 for enable and 0 for disable for CH0 V combiner:
Beam0 [0], 
Beam1 [1], 
reserved bit [2];</t>
  </si>
  <si>
    <t>quad1_enables</t>
  </si>
  <si>
    <t>ch1_h_enables</t>
  </si>
  <si>
    <t>1 for enable and 0 for disable for CH1 H combiner:
Beam0 [0], 
Beam1 [1], 
reserved bit [2];</t>
  </si>
  <si>
    <t>ch1_v_enables</t>
  </si>
  <si>
    <t>1 for enable and 0 for disable for CH1 V combiner:
Beam0 [0], 
Beam1 [1], 
reserved bit [2];</t>
  </si>
  <si>
    <t>quad2_enables</t>
  </si>
  <si>
    <t>ch2_h_enables</t>
  </si>
  <si>
    <t>1 for enable and 0 for disable for CH2 H combiner:
Beam0 [0], 
Beam1 [1], 
reserved bit [2];</t>
  </si>
  <si>
    <t>ch2_v_enables</t>
  </si>
  <si>
    <t>1 for enable and 0 for disable for CH2 V combiner:
Beam0 [0], 
Beam1 [1], 
reserved bit [2];</t>
  </si>
  <si>
    <t>quad3_enables</t>
  </si>
  <si>
    <t>ch3_h_enables</t>
  </si>
  <si>
    <t>1 for enable and 0 for disable for CH3 H combiner:
Beam0 [0], 
Beam1 [1], 
reserved bit [2];</t>
  </si>
  <si>
    <t>ch3_v_enables</t>
  </si>
  <si>
    <t>1 for enable and 0 for disable for CH3 V combiner:
Beam0 [0], 
Beam1 [1], 
reserved bit [2];</t>
  </si>
  <si>
    <t>quad0_pwrdn</t>
  </si>
  <si>
    <t>ch0_v_pwrdn</t>
  </si>
  <si>
    <t>0 for power off and 1 for power on at CH0 V:
PA [0]
Pre-Driver [1]
Combiner [2]</t>
  </si>
  <si>
    <t>ch0_h_pwrdn</t>
  </si>
  <si>
    <t>0 for power off and 1 for power on at CH0 H:
PA [0]
Pre-Driver [1]
Combiner [2]</t>
  </si>
  <si>
    <t>ch0_pwrdn_override</t>
  </si>
  <si>
    <t>ch0_bias_en</t>
  </si>
  <si>
    <t>pulse_en_ch0_2</t>
  </si>
  <si>
    <t>ch0_efuse_pwrdn_dis</t>
  </si>
  <si>
    <t>disables the auto power gating of effuse (not latched)</t>
  </si>
  <si>
    <t>quad1_pwrdn</t>
  </si>
  <si>
    <t>ch1_v_pwrdn</t>
  </si>
  <si>
    <t>0 for power off and 1 for power on at CH1 V:
PA [0]
Pre-Driver [1]
Combiner [2]</t>
  </si>
  <si>
    <t>ch1_h_pwrdn</t>
  </si>
  <si>
    <t>0 for power off and 1 for power on at CH1 H:
PA [0]
Pre-Driver [1]
Combiner [2]</t>
  </si>
  <si>
    <t>ch1_pwrdn_override</t>
  </si>
  <si>
    <t>ch1_bias_en</t>
  </si>
  <si>
    <t>pulse_en_ch1_2</t>
  </si>
  <si>
    <t>ch1_efuse_pwrdn_dis</t>
  </si>
  <si>
    <t>disables the auto power gating of efuse (not latched)</t>
  </si>
  <si>
    <t>quad2_pwrdn</t>
  </si>
  <si>
    <t>ch2_v_pwrdn</t>
  </si>
  <si>
    <t>0 for power off and 1 for power on at CH2 V:
PA [0]
Pre-Driver [1]
Combiner [2]</t>
  </si>
  <si>
    <t>ch2_h_pwrdn</t>
  </si>
  <si>
    <t>0 for power off and 1 for power on at CH2 H:
PA [0]
Pre-Driver [1]
Combiner [2]</t>
  </si>
  <si>
    <t>ch2_pwrdn_override</t>
  </si>
  <si>
    <t>ch2_bias_en</t>
  </si>
  <si>
    <t>pulse_en_ch2_2</t>
  </si>
  <si>
    <t>ch2_efuse_pwrdn_dis</t>
  </si>
  <si>
    <t>quad3_pwrdn</t>
  </si>
  <si>
    <t>ch3_v_pwrdn</t>
  </si>
  <si>
    <t>0 for power off and 1 for power on at CH3 V:
PA [0]
Pre-Driver [1]
Combiner [2]</t>
  </si>
  <si>
    <t>ch3_h_pwrdn</t>
  </si>
  <si>
    <t>0 for power off and 1 for power on at CH3 H:
PA [0]
Pre-Driver [1]
Combiner [2]</t>
  </si>
  <si>
    <t>ch3_pwrdn_override</t>
  </si>
  <si>
    <t>ch3_bias_en</t>
  </si>
  <si>
    <t>pulse_en_ch3_2</t>
  </si>
  <si>
    <t>ch3_efuse_pwrdn_dis</t>
  </si>
  <si>
    <t>quad0_gain_ctrl</t>
  </si>
  <si>
    <t>gain_control_h0</t>
  </si>
  <si>
    <t>4 bit gain control for CH0 H</t>
  </si>
  <si>
    <t>gain_control_v0</t>
  </si>
  <si>
    <t>4 bit gain control for CH0 V</t>
  </si>
  <si>
    <t>pulse_en_ch0_4</t>
  </si>
  <si>
    <t>quad1_gain_ctrl</t>
  </si>
  <si>
    <t>gain_control_h1</t>
  </si>
  <si>
    <t>4 bit gain control for CH1 H</t>
  </si>
  <si>
    <t>gain_control_v1</t>
  </si>
  <si>
    <t>4 bit gain control for CH1 V</t>
  </si>
  <si>
    <t>pulse_en_ch1_4</t>
  </si>
  <si>
    <t>quad2_gain_ctrl</t>
  </si>
  <si>
    <t>gain_control_h2</t>
  </si>
  <si>
    <t>4 bit gain control for CH2 H</t>
  </si>
  <si>
    <t>gain_control_v2</t>
  </si>
  <si>
    <t>4 bit gain control for CH2 V</t>
  </si>
  <si>
    <t>pulse_en_ch2_4</t>
  </si>
  <si>
    <t>quad3_gain_ctrl</t>
  </si>
  <si>
    <t>gain_control_h3</t>
  </si>
  <si>
    <t>4 bit gain control for CH3 H</t>
  </si>
  <si>
    <t>gain_control_v3</t>
  </si>
  <si>
    <t>4 bit gain control for CH3 V</t>
  </si>
  <si>
    <t>pulse_en_ch3_4</t>
  </si>
  <si>
    <t>cal_freq_adj_ch0</t>
  </si>
  <si>
    <t>ch0_cal_freq_sel_beam0</t>
  </si>
  <si>
    <t>Frequency selection for calibration optimization  Beam0</t>
  </si>
  <si>
    <t>ch0_cal_freq_sel_beam1</t>
  </si>
  <si>
    <t>Frequency selection for calibration optimization  Beam1</t>
  </si>
  <si>
    <t>pulse_en_ch0_3</t>
  </si>
  <si>
    <t>cal_freq_adj_ch1</t>
  </si>
  <si>
    <t>ch1_cal_freq_sel_beam0</t>
  </si>
  <si>
    <t>ch1_cal_freq_sel_beam1</t>
  </si>
  <si>
    <t>pulse_en_ch1_3</t>
  </si>
  <si>
    <t>cal_freq_adj_ch2</t>
  </si>
  <si>
    <t>ch2_cal_freq_sel_beam0</t>
  </si>
  <si>
    <t>ch2_cal_freq_sel_beam1</t>
  </si>
  <si>
    <t>pulse_en_ch2_3</t>
  </si>
  <si>
    <t>cal_freq_adj_ch3</t>
  </si>
  <si>
    <t>ch3_cal_freq_sel_beam0</t>
  </si>
  <si>
    <t>ch3_cal_freq_sel_beam1</t>
  </si>
  <si>
    <t>pulse_en_ch3_3</t>
  </si>
  <si>
    <t>ch0_comb_cbias</t>
  </si>
  <si>
    <t>ch0_h_comb_cbias</t>
  </si>
  <si>
    <t>Middle cascode device gate voltage of 3-to-1 combiner for CH0 H [2:0]</t>
  </si>
  <si>
    <t>ch0_v_comb_cbias</t>
  </si>
  <si>
    <t>Middle cascode device gate voltage of 3-to-1 combiner for CH0 V [2:0]</t>
  </si>
  <si>
    <t>ch1_comb_cbias</t>
  </si>
  <si>
    <t>ch1_h_comb_cbias</t>
  </si>
  <si>
    <t>Middle cascode device gate voltage of 3-to-1 combiner for CH1 H [2:0]</t>
  </si>
  <si>
    <t>ch1_v_comb_cbias</t>
  </si>
  <si>
    <t>Middle cascode device gate voltage of 3-to-1 combiner for CH1 V [2:0]</t>
  </si>
  <si>
    <t>ch2_comb_cbias</t>
  </si>
  <si>
    <t>ch2_h_comb_cbias</t>
  </si>
  <si>
    <t>Middle cascode device gate voltage of 3-to-1 combiner for CH2 H [2:0]</t>
  </si>
  <si>
    <t>ch2_v_comb_cbias</t>
  </si>
  <si>
    <t>Middle cascode device gate voltage of 3-to-1 combiner for CH2 V [2:0]</t>
  </si>
  <si>
    <t>ch3_comb_cbias</t>
  </si>
  <si>
    <t>ch3_h_comb_cbias</t>
  </si>
  <si>
    <t>Middle cascode device gate voltage of 3-to-1 combiner for CH3 H [2:0]</t>
  </si>
  <si>
    <t>ch3_v_comb_cbias</t>
  </si>
  <si>
    <t>Middle cascode device gate voltage of 3-to-1 combiner for CH3 V [2:0]</t>
  </si>
  <si>
    <t>ch0_h_attn_cal</t>
  </si>
  <si>
    <t>ch0_h_b0_attn_cal</t>
  </si>
  <si>
    <t>RTPS amplitude cal attenuation for CH0 H at Beam0; 4-dB range, 0.25-dB/step [3:0]</t>
  </si>
  <si>
    <t>ch0_h_b1_attn_cal</t>
  </si>
  <si>
    <t>RTPS amplitude cal attenuation for CH0 H at Beam1; 4-dB range, 0.25-dB/step [11:8]</t>
  </si>
  <si>
    <t>ch1_h_attn_cal</t>
  </si>
  <si>
    <t>ch1_h_b0_attn_cal</t>
  </si>
  <si>
    <t>RTPS amplitude cal attenuation for CH1 H at Beam0; 4-dB range, 0.25-dB/step [3:0]</t>
  </si>
  <si>
    <t>ch1_h_b1_attn_cal</t>
  </si>
  <si>
    <t>RTPS amplitude cal attenuation for CH1 H at Beam1; 4-dB range, 0.25-dB/step [11:8]</t>
  </si>
  <si>
    <t>ch2_h_attn_cal</t>
  </si>
  <si>
    <t>ch2_h_b0_attn_cal</t>
  </si>
  <si>
    <t>RTPS amplitude cal attenuation for CH2 H at Beam0; 4-dB range, 0.25-dB/step [3:0]</t>
  </si>
  <si>
    <t>ch2_h_b1_attn_cal</t>
  </si>
  <si>
    <t>RTPS amplitude cal attenuation for CH2 H at Beam1; 4-dB range, 0.25-dB/step [11:8]</t>
  </si>
  <si>
    <t>ch3_h_attn_cal</t>
  </si>
  <si>
    <t>ch3_h_b0_attn_cal</t>
  </si>
  <si>
    <t>RTPS amplitude cal attenuation for CH3 H at Beam0; 4-dB range, 0.25-dB/step [3:0]</t>
  </si>
  <si>
    <t>ch3_h_b1_attn_cal</t>
  </si>
  <si>
    <t>RTPS amplitude cal attenuation for CH3 H at Beam1; 4-dB range, 0.25-dB/step [11:8]</t>
  </si>
  <si>
    <t>ch0_v_attn_cal</t>
  </si>
  <si>
    <t>ch0_v_b0_attn_cal</t>
  </si>
  <si>
    <t>RTPS amplitude cal attenuation for CH0 V at Beam0; 4-dB range, 0.25-dB/step [11:8]</t>
  </si>
  <si>
    <t>ch1_v_attn_cal</t>
  </si>
  <si>
    <t>ch1_v_b0_attn_cal</t>
  </si>
  <si>
    <t>RTPS amplitude cal attenuation for CH1 V at Beam0; 4-dB range, 0.25-dB/step [11:8]</t>
  </si>
  <si>
    <t>ch2_v_attn_cal</t>
  </si>
  <si>
    <t>ch2_v_b0_attn_cal</t>
  </si>
  <si>
    <t>RTPS amplitude cal attenuation for CH2 V at Beam0; 4-dB range, 0.25-dB/step [11:8]</t>
  </si>
  <si>
    <t>ch3_v_attn_cal</t>
  </si>
  <si>
    <t>ch3_v_b0_attn_cal</t>
  </si>
  <si>
    <t>RTPS amplitude cal attenuation for CH3 V at Beam0; 4-dB range, 0.25-dB/step [11:8]</t>
  </si>
  <si>
    <t>ch0_v_b1_attn_cal</t>
  </si>
  <si>
    <t>RTPS amplitude cal attenuation for CH0 V at Beam1; 4-dB range, 0.25-dB/step [3:0]</t>
  </si>
  <si>
    <t>ch1_v_b1_attn_cal</t>
  </si>
  <si>
    <t>RTPS amplitude cal attenuation for CH1 V at Beam1; 4-dB range, 0.25-dB/step [3:0]</t>
  </si>
  <si>
    <t>ch2_v_b1_attn_cal</t>
  </si>
  <si>
    <t>RTPS amplitude cal attenuation for CH2 V at Beam1; 4-dB range, 0.25-dB/step [3:0]</t>
  </si>
  <si>
    <t>ch3_v_b1_attn_cal</t>
  </si>
  <si>
    <t>RTPS amplitude cal attenuation for CH3 V at Beam1; 4-dB range, 0.25-dB/step [3:0]</t>
  </si>
  <si>
    <t>ch0_captune</t>
  </si>
  <si>
    <t>ch0_h_comb_in_captune</t>
  </si>
  <si>
    <t>Capacitance tune for CH0 H combiner input [2:0]</t>
  </si>
  <si>
    <t>ch0_h_comb_out_captune</t>
  </si>
  <si>
    <t>Capacitance tune for CH0 H combiner output [4:3]</t>
  </si>
  <si>
    <t>ch0_v_comb_in_captune</t>
  </si>
  <si>
    <t>Capacitance tune for CH0 V combiner input [10:8]</t>
  </si>
  <si>
    <t>ch0_v_comb_out_captune</t>
  </si>
  <si>
    <t>Capacitance tune for CH0 V combiner output [12:11]</t>
  </si>
  <si>
    <t>ch1_captune</t>
  </si>
  <si>
    <t>ch1_h_comb_in_captune</t>
  </si>
  <si>
    <t>Capacitance tune for CH1 H combiner input [2:0]</t>
  </si>
  <si>
    <t>ch1_h_comb_out_captune</t>
  </si>
  <si>
    <t>Capacitance tune for CH1 H combiner output [4:3]</t>
  </si>
  <si>
    <t>ch1_v_comb_in_captune</t>
  </si>
  <si>
    <t>Capacitance tune for CH1 V combiner input [10:8]</t>
  </si>
  <si>
    <t>ch1_v_comb_out_captune</t>
  </si>
  <si>
    <t>Capacitance tune for CH1 V combiner output [12:11]</t>
  </si>
  <si>
    <t>ch2_captune</t>
  </si>
  <si>
    <t>ch2_h_comb_in_captune</t>
  </si>
  <si>
    <t>Capacitance tune for CH2 H combiner input [2:0]</t>
  </si>
  <si>
    <t>ch2_h_comb_out_captune</t>
  </si>
  <si>
    <t>Capacitance tune for CH2 H combiner output [4:3]</t>
  </si>
  <si>
    <t>ch2_v_comb_in_captune</t>
  </si>
  <si>
    <t>Capacitance tune for CH2 V combiner input [10:8]</t>
  </si>
  <si>
    <t>ch2_v_comb_out_captune</t>
  </si>
  <si>
    <t>Capacitance tune for CH2 V combiner output [12:11]</t>
  </si>
  <si>
    <t>ch3_captune</t>
  </si>
  <si>
    <t>ch3_h_comb_in_captune</t>
  </si>
  <si>
    <t>Capacitance tune for CH3 H combiner input [2:0]</t>
  </si>
  <si>
    <t>ch3_h_comb_out_captune</t>
  </si>
  <si>
    <t>Capacitance tune for CH3 H combiner output [4:3]</t>
  </si>
  <si>
    <t>ch3_v_comb_in_captune</t>
  </si>
  <si>
    <t>Capacitance tune for CH3 V combiner input [10:8]</t>
  </si>
  <si>
    <t>ch3_v_comb_out_captune</t>
  </si>
  <si>
    <t>Capacitance tune for CH3 V combiner output [12:11]</t>
  </si>
  <si>
    <t>d2a_CH0_H_PTAT_St1</t>
  </si>
  <si>
    <t>PTAT current bias of PA for CH0 H</t>
  </si>
  <si>
    <t>d2a_CH0_H_PTAT_St2</t>
  </si>
  <si>
    <t>PTAT current bias of PA Driver for CH0 H</t>
  </si>
  <si>
    <t>d2a_CH0_H_PTAT_St3</t>
  </si>
  <si>
    <t>PTAT current bias of combiner for CH0 H</t>
  </si>
  <si>
    <t>d2a_CH0_H_CTAT</t>
  </si>
  <si>
    <t>&lt;3:1&gt; to efuse; CTAT current for 3to1 Comb with 15.626uA step size and the range from 0 to 1000uA.</t>
  </si>
  <si>
    <t>d2a_CH0_V_PTAT_St1</t>
  </si>
  <si>
    <t>PTAT current bias of PA for CH0 V</t>
  </si>
  <si>
    <t>d2a_CH0_V_PTAT_St2</t>
  </si>
  <si>
    <t>PTAT current bias of PA Driver for CH0 V</t>
  </si>
  <si>
    <t>d2a_CH0_V_PTAT_St3</t>
  </si>
  <si>
    <t>PTAT current bias of combiner for CH0 V</t>
  </si>
  <si>
    <t>d2a_CH0_V_CTAT</t>
  </si>
  <si>
    <t>d2a_CH1_H_PTAT_St1</t>
  </si>
  <si>
    <t>PTAT current bias of PA for CH1 H</t>
  </si>
  <si>
    <t>d2a_CH1_H_PTAT_St2</t>
  </si>
  <si>
    <t>PTAT current bias of PA Driver for CH1 H</t>
  </si>
  <si>
    <t>d2a_CH1_H_PTAT_St3</t>
  </si>
  <si>
    <t>PTAT current bias of combiner for CH1 H</t>
  </si>
  <si>
    <t>d2a_CH1_H_CTAT</t>
  </si>
  <si>
    <t>d2a_CH1_V_PTAT_St1</t>
  </si>
  <si>
    <t>PTAT current bias of PA for CH1 V</t>
  </si>
  <si>
    <t>d2a_CH1_V_PTAT_St2</t>
  </si>
  <si>
    <t>PTAT current bias of PA Driver for CH1 V</t>
  </si>
  <si>
    <t>d2a_CH1_V_PTAT_St3</t>
  </si>
  <si>
    <t>PTAT current bias of combiner for CH1 V</t>
  </si>
  <si>
    <t>d2a_CH1_V_CTAT</t>
  </si>
  <si>
    <t>d2a_CH2_H_PTAT_St1</t>
  </si>
  <si>
    <t>PTAT current bias of PA for CH2 H</t>
  </si>
  <si>
    <t>d2a_CH2_H_PTAT_St2</t>
  </si>
  <si>
    <t>PTAT current bias of PA Driver for CH2 H</t>
  </si>
  <si>
    <t>d2a_CH2_H_PTAT_St3</t>
  </si>
  <si>
    <t>PTAT current bias of combiner for CH2 H</t>
  </si>
  <si>
    <t>d2a_CH2_H_CTAT</t>
  </si>
  <si>
    <t>d2a_CH2_V_PTAT_St1</t>
  </si>
  <si>
    <t>PTAT current bias of PA for CH2 V</t>
  </si>
  <si>
    <t>d2a_CH2_V_PTAT_St2</t>
  </si>
  <si>
    <t>PTAT current bias of PA Driver for CH2 V</t>
  </si>
  <si>
    <t>d2a_CH2_V_PTAT_St3</t>
  </si>
  <si>
    <t>PTAT current bias of combiner for CH2 V</t>
  </si>
  <si>
    <t>d2a_CH2_V_CTAT</t>
  </si>
  <si>
    <t>d2a_CH3_H_PTAT_St1</t>
  </si>
  <si>
    <t>PTAT current bias of PA for CH3 H</t>
  </si>
  <si>
    <t>d2a_CH3_H_PTAT_St2</t>
  </si>
  <si>
    <t>PTAT current bias of PA Driver for CH3 H</t>
  </si>
  <si>
    <t>d2a_CH3_H_PTAT_St3</t>
  </si>
  <si>
    <t>PTAT current bias of combiner for CH3 H</t>
  </si>
  <si>
    <t>d2a_CH3_H_CTAT</t>
  </si>
  <si>
    <t>d2a_CH3_V_PTAT_St1</t>
  </si>
  <si>
    <t>PTAT current bias of PA for CH3 V</t>
  </si>
  <si>
    <t>d2a_CH3_V_PTAT_St2</t>
  </si>
  <si>
    <t>PTAT current bias of PA Driver for CH3 V</t>
  </si>
  <si>
    <t>d2a_CH3_V_PTAT_St3</t>
  </si>
  <si>
    <t>PTAT current bias of combiner for CH3 V</t>
  </si>
  <si>
    <t>d2a_CH3_V_CTAT</t>
  </si>
  <si>
    <t>d2a_DIST_CTAT</t>
  </si>
  <si>
    <t>&lt;3:1&gt; to efuse; CTAT current with 15.626uA step size and the range from 0 to 1000uA.</t>
  </si>
  <si>
    <t>d2a_DIST_B0_St1_PTAT</t>
  </si>
  <si>
    <t>PTAT current bias for the St1 distribution network at Beam 0</t>
  </si>
  <si>
    <t>d2a_DIST_B0_St2_0_PTAT</t>
  </si>
  <si>
    <t>PTAT current bias for the CH0-1 St2 distribution network at Beam 0</t>
  </si>
  <si>
    <t>d2a_DIST_B0_St2_1_PTAT</t>
  </si>
  <si>
    <t>PTAT current bias for the CH2-3 St2 distribution network at Beam 0</t>
  </si>
  <si>
    <t>d2a_DIST_B1_St1_PTAT</t>
  </si>
  <si>
    <t>PTAT current bias for the St1 distribution network at Beam 1</t>
  </si>
  <si>
    <t>d2a_DIST_B1_St2_0_PTAT</t>
  </si>
  <si>
    <t>PTAT current bias for the CH0-1 St2 distribution network at Beam 1</t>
  </si>
  <si>
    <t>d2a_DIST_B1_St2_1_PTAT</t>
  </si>
  <si>
    <t>PTAT current bias for the CH2-3 St2 distribution network at Beam 1</t>
  </si>
  <si>
    <t>d2a_DIST_B0_St1_cbias</t>
  </si>
  <si>
    <t>&lt;2:0&gt; for DIST St1 middle cascode device gate bias at Beam 0</t>
  </si>
  <si>
    <t>d2a_DIST_B0_St2_0_cbias</t>
  </si>
  <si>
    <t>&lt;2:0&gt; for DIST St2_0 and St2_1 middle cascode device gate bias at Beam 0</t>
  </si>
  <si>
    <t>d2a_DIST_B0_St2_1_cbias</t>
  </si>
  <si>
    <t>&lt;2:0&gt; for DIST St2_0 and St2_1 bottom gm device gate bias at Beam 0</t>
  </si>
  <si>
    <t>d2a_DIST_B1_St1_cbias</t>
  </si>
  <si>
    <t>&lt;2:0&gt; for DIST St1 middle cascode device gate bias at Beam 1</t>
  </si>
  <si>
    <t>d2a_DIST_B1_St2_0_cbias</t>
  </si>
  <si>
    <t>&lt;2:0&gt; for DIST St2_0 and St2_1 middle cascode device gate bias at Beam 1</t>
  </si>
  <si>
    <t>d2a_DIST_B1_St2_1_cbias</t>
  </si>
  <si>
    <t>&lt;2:0&gt; for DIST St2_0 and St2_1 bottom gm device gate bias at Beam 1</t>
  </si>
  <si>
    <t>ch0_pd_dctest_ctrl</t>
  </si>
  <si>
    <t>ch0_v_pd_en</t>
  </si>
  <si>
    <t>Channel 0 V power detector ADC enable</t>
  </si>
  <si>
    <t>ch0_v_pd_enbgr</t>
  </si>
  <si>
    <t>Channel 0 V power detector LDO BGR enable</t>
  </si>
  <si>
    <t>ch0_h_pd_en</t>
  </si>
  <si>
    <t>Channel 0 H power detector ADC enable</t>
  </si>
  <si>
    <t>ch0_h_pd_enbgr</t>
  </si>
  <si>
    <t>Channel 0 H power detector LDO BGR enable</t>
  </si>
  <si>
    <t>ch0_dctest_en</t>
  </si>
  <si>
    <t>DC test enable for CH0: &lt;0&gt; CH0_V PA/DRV, &lt;1&gt; CH0_V comb, &lt;2&gt; CH0_H PA/DRV, &lt;3&gt; CH0_H comb</t>
  </si>
  <si>
    <t>ch1_pd_dctest_ctrl</t>
  </si>
  <si>
    <t>ch1_v_pd_en</t>
  </si>
  <si>
    <t>Channel 1 V power detector ADC enable</t>
  </si>
  <si>
    <t>ch1_v_pd_enbgr</t>
  </si>
  <si>
    <t>Channel 1 V power detector LDO BGR enable</t>
  </si>
  <si>
    <t>ch1_h_pd_en</t>
  </si>
  <si>
    <t>Channel 1 H power detector ADC enable</t>
  </si>
  <si>
    <t>ch1_h_pd_enbgr</t>
  </si>
  <si>
    <t>Channel 1 H power detector LDO BGR enable</t>
  </si>
  <si>
    <t>ch1_dctest_en</t>
  </si>
  <si>
    <t>DC test enable for CH1: &lt;0&gt; CH1_V PA/DRV, &lt;1&gt; CH1_V comb, &lt;2&gt; CH1_H PA/DRV, &lt;3&gt; CH1_H comb</t>
  </si>
  <si>
    <t>ch2_pd_dctest_ctrl</t>
  </si>
  <si>
    <t>ch2_v_pd_en</t>
  </si>
  <si>
    <t>Channel 2 V power detector ADC enable</t>
  </si>
  <si>
    <t>ch2_v_pd_enbgr</t>
  </si>
  <si>
    <t>Channel 2 V power detector LDO BGR enable</t>
  </si>
  <si>
    <t>ch2_h_pd_en</t>
  </si>
  <si>
    <t>Channel 2 H power detector ADC enable</t>
  </si>
  <si>
    <t>ch2_h_pd_enbgr</t>
  </si>
  <si>
    <t>Channel 2 H power detector LDO BGR enable</t>
  </si>
  <si>
    <t>ch2_dctest_en</t>
  </si>
  <si>
    <t>DC test enable for CH2: &lt;0&gt; CH2_V PA/DRV, &lt;1&gt; CH2_V comb, &lt;2&gt; CH2_H PA/DRV, &lt;3&gt; CH2_H comb</t>
  </si>
  <si>
    <t>ch3_pd_dctest_ctrl</t>
  </si>
  <si>
    <t>ch3_v_pd_en</t>
  </si>
  <si>
    <t>Channel 3 V power detector ADC enable</t>
  </si>
  <si>
    <t>ch3_v_pd_enbgr</t>
  </si>
  <si>
    <t>Channel 3 V power detector LDO BGR enable</t>
  </si>
  <si>
    <t>ch3_h_pd_en</t>
  </si>
  <si>
    <t>Channel 3 H power detector ADC enable</t>
  </si>
  <si>
    <t>ch3_h_pd_enbgr</t>
  </si>
  <si>
    <t>Channel 3 H power detector LDO BGR enable</t>
  </si>
  <si>
    <t>ch3_dctest_en</t>
  </si>
  <si>
    <t>DC test enable for CH3: &lt;0&gt; CH3_V PA/DRV, &lt;1&gt; CH3_V comb, &lt;2&gt; CH3_H PA/DRV, &lt;3&gt; CH3_H comb</t>
  </si>
  <si>
    <t>dctest_ctrl</t>
  </si>
  <si>
    <t>reserved_bits[13:0]</t>
  </si>
  <si>
    <t>dctest_reset</t>
  </si>
  <si>
    <t>ADC reset signal for DC test ADC</t>
  </si>
  <si>
    <t>temp_sense_ctrl</t>
  </si>
  <si>
    <t>tcoc</t>
  </si>
  <si>
    <t>Temperature sensor TCOC slope correction [3:0]</t>
  </si>
  <si>
    <t>tcsc</t>
  </si>
  <si>
    <t>Temperature sensor TCSC slope correction [7:4]</t>
  </si>
  <si>
    <t>thermo_core_en</t>
  </si>
  <si>
    <t>Temperature sensor measurement enable (TSENSE meas en)</t>
  </si>
  <si>
    <t>temp_adc_enbgr</t>
  </si>
  <si>
    <t>Temperature sensor ADC BGR enable</t>
  </si>
  <si>
    <t>temp_adc_data</t>
  </si>
  <si>
    <t>Temperature sensor ADC output data [7:0]</t>
  </si>
  <si>
    <t>ch0_h_pd_data</t>
  </si>
  <si>
    <t>Channel 0 H power detector ADC output data [7:0]</t>
  </si>
  <si>
    <t>ch0_v_pd_data</t>
  </si>
  <si>
    <t>Channel 0 V power detector ADC output data [7:0]</t>
  </si>
  <si>
    <t>ch1_h_pd_data</t>
  </si>
  <si>
    <t>Channel 1 H power detector ADC output data [7:0]</t>
  </si>
  <si>
    <t>ch1_v_pd_data</t>
  </si>
  <si>
    <t>Channel 1 V power detector ADC output data [7:0]</t>
  </si>
  <si>
    <t>ch2_h_pd_data</t>
  </si>
  <si>
    <t>Channel 2 H power detector ADC output data [7:0]</t>
  </si>
  <si>
    <t>ch2_v_pd_data</t>
  </si>
  <si>
    <t>Channel 2 V power detector ADC output data [7:0]</t>
  </si>
  <si>
    <t>ch3_h_pd_data</t>
  </si>
  <si>
    <t>Channel 3 H power detector ADC output data [7:0]</t>
  </si>
  <si>
    <t>ch3_v_pd_data</t>
  </si>
  <si>
    <t>Channel 3 V power detector ADC output data [7:0]</t>
  </si>
  <si>
    <t>beam0_pd_data</t>
  </si>
  <si>
    <t>Beam 0 power detector ADC output data [7:0]</t>
  </si>
  <si>
    <t>beam1_pd_data</t>
  </si>
  <si>
    <t>Beam 1 power detector ADC output data [7:0]</t>
  </si>
  <si>
    <t>beam_pd_data_rsvd0</t>
  </si>
  <si>
    <t>reserved_bits[7:0]</t>
  </si>
  <si>
    <t>beam_pd_data_rsvd1</t>
  </si>
  <si>
    <t>dctest_adc_data</t>
  </si>
  <si>
    <t>DC test ADC output data [7:0]</t>
  </si>
  <si>
    <t>dctest_adc_ctrl</t>
  </si>
  <si>
    <t>reserved_bits[9:0]</t>
  </si>
  <si>
    <t>dctest_enbgr</t>
  </si>
  <si>
    <t>DC test ADC BGR enable</t>
  </si>
  <si>
    <t>dctest_gc</t>
  </si>
  <si>
    <t>DC test ADC gain control [12:11]</t>
  </si>
  <si>
    <t>dctest_mode</t>
  </si>
  <si>
    <t>8 DC test modes shared by all blocks for full chip [15:13]</t>
  </si>
  <si>
    <t>beam_pd_ctrl</t>
  </si>
  <si>
    <t>beam0_pd_en</t>
  </si>
  <si>
    <t>Beam 0 power detector ADC enable</t>
  </si>
  <si>
    <t>beam0_pd_enbgr</t>
  </si>
  <si>
    <t>Beam 0 power detector ADC BGR enable</t>
  </si>
  <si>
    <t>beam1_pd_en</t>
  </si>
  <si>
    <t>Beam 1 power detector ADC enable</t>
  </si>
  <si>
    <t>beam1_pd_enbgr</t>
  </si>
  <si>
    <t>Beam 1 power detector ADC BGR enable</t>
  </si>
  <si>
    <t>beam_pd_gc</t>
  </si>
  <si>
    <t>beam0_pd_gc</t>
  </si>
  <si>
    <t>Beam 0 power detector gain control [1:0]</t>
  </si>
  <si>
    <t>beam1_pd_gc</t>
  </si>
  <si>
    <t>Beam 1 power detector gain control [1:0]</t>
  </si>
  <si>
    <t>ch0_pd_gc</t>
  </si>
  <si>
    <t>ch0_h_pd_gc</t>
  </si>
  <si>
    <t>Channel 0 H power detector gain control [1:0]</t>
  </si>
  <si>
    <t>ch0_v_pd_gc</t>
  </si>
  <si>
    <t>Channel 0 V power detector gain control [1:0]</t>
  </si>
  <si>
    <t>ch1_pd_gc</t>
  </si>
  <si>
    <t>ch1_h_pd_gc</t>
  </si>
  <si>
    <t>Channel 1 H power detector gain control [1:0]</t>
  </si>
  <si>
    <t>ch1_v_pd_gc</t>
  </si>
  <si>
    <t>Channel 1 V power detector gain control [1:0]</t>
  </si>
  <si>
    <t>ch2_pd_gc</t>
  </si>
  <si>
    <t>ch2_h_pd_gc</t>
  </si>
  <si>
    <t>Channel 2 H power detector gain control [1:0]</t>
  </si>
  <si>
    <t>ch2_v_pd_gc</t>
  </si>
  <si>
    <t>Channel 2 V power detector gain control [1:0]</t>
  </si>
  <si>
    <t>ch3_pd_gc</t>
  </si>
  <si>
    <t>ch3_h_pd_gc</t>
  </si>
  <si>
    <t>Channel 3 H power detector gain control [1:0]</t>
  </si>
  <si>
    <t>ch3_v_pd_gc</t>
  </si>
  <si>
    <t>Channel 3 V power detector gain control [1:0]</t>
  </si>
  <si>
    <t>d2a_center_bias_en</t>
  </si>
  <si>
    <t>Bias gen and BG</t>
  </si>
  <si>
    <t>DIST Bias generation bit B0</t>
  </si>
  <si>
    <t>DIST Bias generation bit B1</t>
  </si>
  <si>
    <t>1.8-V ANA power-gated SW for DCTEST ADC and Temp Sensor</t>
  </si>
  <si>
    <t>PA3</t>
  </si>
  <si>
    <t>Added ADC sheet and some missing bias regs</t>
  </si>
  <si>
    <t>Current CHIP setting either from external pins, enumeration, or written by unique ID</t>
  </si>
  <si>
    <t>Macro MSB</t>
  </si>
  <si>
    <t>Macro LSB</t>
  </si>
  <si>
    <t>unique_id_h</t>
  </si>
  <si>
    <t>unique_id_l</t>
  </si>
  <si>
    <t>common_gain_b0</t>
  </si>
  <si>
    <t>common_gain_b1</t>
  </si>
  <si>
    <t>d2a_daisy_chain0_bias</t>
  </si>
  <si>
    <t>Unused used for extra fuse values</t>
  </si>
  <si>
    <t>d2a_daisy_chain1_bias</t>
  </si>
  <si>
    <t>d2a_daisy_chain2_bias</t>
  </si>
  <si>
    <t>d2a_daisy_chain3_bias</t>
  </si>
  <si>
    <t>d2a_extra_bits_0</t>
  </si>
  <si>
    <t>&lt;7:6&gt; for the DSIT St1 B0 input captune
&lt;5:3&gt; for top cascode gate bias
&lt;2:0&gt; for DIST St1 bottom gm device gate bias</t>
  </si>
  <si>
    <t>d2a_extra_bits_1</t>
  </si>
  <si>
    <t>&lt;7:6&gt; for the DSIT St1 B1 input captune
&lt;5:3&gt; for top cascode gate bias
&lt;2:0&gt; for DIST St1 bottom gm device gate bias</t>
  </si>
  <si>
    <t>d2a_extra_bits_2</t>
  </si>
  <si>
    <t>&lt;4:0&gt; for d2a_bias_adjust&lt;4:0&gt;
&lt;7:6&gt; reserved bits
&lt;5&gt; for d2a_slope_2x_en</t>
  </si>
  <si>
    <t>Blueway</t>
  </si>
  <si>
    <t>Value ID is like a variable. Say &lt;row1&gt; Type = R, ID = gb, then another row &lt;row2&gt; Type = W, ID = gb. This mean read field in row 1 and write to row 2. if ID == FIXED then write what is in column Fixed Value</t>
  </si>
  <si>
    <t>Revision Name</t>
  </si>
  <si>
    <t>Revision Value</t>
  </si>
  <si>
    <t>Instruction ID</t>
  </si>
  <si>
    <t>Value ID</t>
  </si>
  <si>
    <t>Fixed Value</t>
  </si>
  <si>
    <t>rev_1</t>
  </si>
  <si>
    <t>global_bias</t>
  </si>
  <si>
    <t>W</t>
  </si>
  <si>
    <t>cap</t>
  </si>
  <si>
    <t>Type definitions: R = read, W = Write, RCLR = Read and clear, CLR = Clear (set to 0), CLR-REG = -REG extension makes the application to full register instead of just field</t>
  </si>
  <si>
    <t>CLR-REG</t>
  </si>
  <si>
    <t>RCLR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</si>
</sst>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9DC3E6"/>
      </patternFill>
    </fill>
    <fill>
      <patternFill patternType="solid">
        <fgColor theme="4" tint="0.39988402966399123"/>
        <bgColor rgb="FFA9D18E"/>
      </patternFill>
    </fill>
    <fill>
      <patternFill patternType="solid">
        <fgColor rgb="FFD9D9D9"/>
        <bgColor rgb="FFCCFFCC"/>
      </patternFill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6" fillId="2" borderId="1">
      <alignment vertical="top"/>
    </xf>
    <xf numFmtId="0" fontId="6" fillId="3" borderId="1">
      <alignment vertical="top"/>
    </xf>
  </cellStyleXfs>
  <cellXfs count="35">
    <xf numFmtId="0" fontId="0" fillId="0" borderId="0" xfId="0"/>
    <xf numFmtId="0" fontId="1" fillId="0" borderId="2" xfId="0" applyFont="1" applyBorder="1"/>
    <xf numFmtId="164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6" fillId="2" borderId="1" xfId="1">
      <alignment vertical="top"/>
    </xf>
    <xf numFmtId="0" fontId="6" fillId="3" borderId="1" xfId="2">
      <alignment vertical="top"/>
    </xf>
    <xf numFmtId="0" fontId="6" fillId="2" borderId="1" xfId="1" applyAlignment="1">
      <alignment vertical="top" wrapText="1"/>
    </xf>
    <xf numFmtId="0" fontId="6" fillId="3" borderId="1" xfId="2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/>
    </xf>
  </cellXfs>
  <cellStyles count="3">
    <cellStyle name="Normal" xfId="0" builtinId="0"/>
    <cellStyle name="one" xfId="1" xr:uid="{00000000-0005-0000-0000-000006000000}"/>
    <cellStyle name="two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spe\Documents\Scripts\Sivers_unified_api\src\sivers_api\data\register_maps\Cloudchaser_Blueway_register_map.xlsx" TargetMode="External"/><Relationship Id="rId1" Type="http://schemas.openxmlformats.org/officeDocument/2006/relationships/externalLinkPath" Target="Cloudchaser_Blueway_register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"/>
      <sheetName val="SYS"/>
      <sheetName val="CTRL"/>
      <sheetName val="CAL"/>
      <sheetName val="BIAS"/>
      <sheetName val="ADC"/>
      <sheetName val="MACRO"/>
      <sheetName val="EFUSE_INSTRUCTIONS"/>
    </sheetNames>
    <sheetDataSet>
      <sheetData sheetId="0">
        <row r="2">
          <cell r="B2">
            <v>46161</v>
          </cell>
          <cell r="C2" t="str">
            <v>PA1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zoomScaleNormal="100" workbookViewId="0">
      <selection activeCell="D11" sqref="D11"/>
    </sheetView>
  </sheetViews>
  <sheetFormatPr defaultColWidth="8.6640625" defaultRowHeight="14.4" x14ac:dyDescent="0.3"/>
  <cols>
    <col min="1" max="1" width="1.33203125" customWidth="1"/>
    <col min="2" max="2" width="10.33203125" customWidth="1"/>
    <col min="4" max="4" width="112.77734375" customWidth="1"/>
  </cols>
  <sheetData>
    <row r="1" spans="2:4" ht="14.25" customHeight="1" x14ac:dyDescent="0.3">
      <c r="B1" s="1" t="s">
        <v>0</v>
      </c>
      <c r="C1" s="1" t="s">
        <v>1</v>
      </c>
    </row>
    <row r="2" spans="2:4" ht="27.75" customHeight="1" x14ac:dyDescent="0.3">
      <c r="B2" s="2">
        <f>MAX(B5:B1000)</f>
        <v>46161</v>
      </c>
      <c r="C2" s="3" t="str">
        <f>VLOOKUP(B2,B5:C1000,2)</f>
        <v>PA3</v>
      </c>
    </row>
    <row r="3" spans="2:4" ht="14.25" customHeight="1" x14ac:dyDescent="0.3">
      <c r="B3" s="2"/>
      <c r="C3" s="3"/>
    </row>
    <row r="4" spans="2:4" ht="14.25" customHeight="1" x14ac:dyDescent="0.3">
      <c r="B4" s="1" t="s">
        <v>2</v>
      </c>
      <c r="C4" s="1"/>
    </row>
    <row r="5" spans="2:4" ht="27.75" customHeight="1" x14ac:dyDescent="0.3">
      <c r="B5" s="2">
        <v>46129</v>
      </c>
      <c r="C5" s="3" t="s">
        <v>3</v>
      </c>
      <c r="D5" t="s">
        <v>4</v>
      </c>
    </row>
    <row r="6" spans="2:4" ht="27.75" customHeight="1" x14ac:dyDescent="0.3">
      <c r="B6" s="2">
        <v>46150</v>
      </c>
      <c r="C6" s="3" t="s">
        <v>5</v>
      </c>
      <c r="D6" t="s">
        <v>6</v>
      </c>
    </row>
    <row r="7" spans="2:4" ht="14.25" customHeight="1" x14ac:dyDescent="0.3">
      <c r="B7" s="2">
        <v>46161</v>
      </c>
      <c r="C7" s="3" t="s">
        <v>493</v>
      </c>
      <c r="D7" t="s">
        <v>494</v>
      </c>
    </row>
    <row r="8" spans="2:4" ht="14.25" customHeight="1" x14ac:dyDescent="0.3">
      <c r="B8" s="2"/>
    </row>
    <row r="9" spans="2:4" ht="14.25" customHeight="1" x14ac:dyDescent="0.3">
      <c r="B9" s="2"/>
    </row>
    <row r="10" spans="2:4" ht="14.25" customHeight="1" x14ac:dyDescent="0.3">
      <c r="B10" s="2"/>
    </row>
    <row r="11" spans="2:4" ht="14.25" customHeight="1" x14ac:dyDescent="0.3">
      <c r="B11" s="2"/>
    </row>
    <row r="12" spans="2:4" ht="14.25" customHeight="1" x14ac:dyDescent="0.3">
      <c r="B12" s="2"/>
    </row>
    <row r="13" spans="2:4" ht="14.25" customHeight="1" x14ac:dyDescent="0.3">
      <c r="B13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zoomScaleNormal="100" workbookViewId="0">
      <selection activeCell="C17" sqref="C17"/>
    </sheetView>
  </sheetViews>
  <sheetFormatPr defaultColWidth="8.88671875" defaultRowHeight="14.4" x14ac:dyDescent="0.3"/>
  <cols>
    <col min="1" max="1" width="8.88671875" style="4"/>
    <col min="2" max="2" width="18.88671875" style="4" customWidth="1"/>
    <col min="3" max="3" width="24.44140625" style="4" customWidth="1"/>
    <col min="4" max="4" width="31.6640625" style="4" customWidth="1"/>
    <col min="5" max="5" width="55.77734375" style="5" customWidth="1"/>
    <col min="6" max="7" width="5" style="4" customWidth="1"/>
    <col min="8" max="16384" width="8.88671875" style="4"/>
  </cols>
  <sheetData>
    <row r="1" spans="1:12" ht="14.25" customHeight="1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</row>
    <row r="2" spans="1:12" ht="14.25" customHeight="1" x14ac:dyDescent="0.3">
      <c r="A2" s="9" t="s">
        <v>9</v>
      </c>
      <c r="C2" s="10">
        <f>Setup!B2</f>
        <v>46161</v>
      </c>
      <c r="D2" s="10" t="str">
        <f>Setup!C2</f>
        <v>PA3</v>
      </c>
      <c r="E2" s="5" t="s">
        <v>10</v>
      </c>
    </row>
    <row r="3" spans="1:12" ht="14.25" customHeight="1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3" t="s">
        <v>21</v>
      </c>
      <c r="L3" s="13" t="s">
        <v>22</v>
      </c>
    </row>
    <row r="4" spans="1:12" ht="14.25" customHeight="1" x14ac:dyDescent="0.3">
      <c r="A4" s="14"/>
      <c r="B4" s="14"/>
      <c r="C4" s="14"/>
      <c r="D4" s="15"/>
      <c r="E4" s="16"/>
      <c r="F4" s="14"/>
      <c r="G4" s="14"/>
      <c r="H4" s="14"/>
      <c r="I4" s="17"/>
      <c r="J4" s="14"/>
      <c r="K4" s="14"/>
      <c r="L4" s="14"/>
    </row>
    <row r="5" spans="1:12" ht="33.6" customHeight="1" x14ac:dyDescent="0.3">
      <c r="A5" s="18">
        <v>4096</v>
      </c>
      <c r="B5" s="18" t="str">
        <f t="shared" ref="B5:B16" si="0">_xlfn.CONCAT("0x",DEC2HEX(A5,4))</f>
        <v>0x1000</v>
      </c>
      <c r="C5" s="18" t="s">
        <v>23</v>
      </c>
      <c r="D5" s="18" t="s">
        <v>24</v>
      </c>
      <c r="E5" s="19" t="s">
        <v>495</v>
      </c>
      <c r="F5" s="18">
        <v>7</v>
      </c>
      <c r="G5" s="18">
        <v>0</v>
      </c>
      <c r="H5" s="18">
        <v>8</v>
      </c>
      <c r="I5" s="18" t="s">
        <v>25</v>
      </c>
      <c r="J5" s="18"/>
      <c r="K5" s="18"/>
      <c r="L5" s="18"/>
    </row>
    <row r="6" spans="1:12" ht="24" customHeight="1" x14ac:dyDescent="0.3">
      <c r="A6" s="18">
        <v>4096</v>
      </c>
      <c r="B6" s="18" t="str">
        <f t="shared" si="0"/>
        <v>0x1000</v>
      </c>
      <c r="C6" s="18" t="s">
        <v>23</v>
      </c>
      <c r="D6" s="18" t="s">
        <v>26</v>
      </c>
      <c r="E6" s="19" t="s">
        <v>27</v>
      </c>
      <c r="F6" s="18">
        <v>15</v>
      </c>
      <c r="G6" s="18">
        <v>8</v>
      </c>
      <c r="H6" s="18">
        <v>8</v>
      </c>
      <c r="I6" s="18" t="s">
        <v>25</v>
      </c>
      <c r="J6" s="18">
        <v>220</v>
      </c>
      <c r="K6" s="18"/>
      <c r="L6" s="18"/>
    </row>
    <row r="7" spans="1:12" ht="14.25" customHeight="1" x14ac:dyDescent="0.3">
      <c r="A7" s="20">
        <v>4097</v>
      </c>
      <c r="B7" s="20" t="str">
        <f t="shared" si="0"/>
        <v>0x1001</v>
      </c>
      <c r="C7" s="20" t="s">
        <v>499</v>
      </c>
      <c r="D7" s="20" t="s">
        <v>28</v>
      </c>
      <c r="E7" s="21" t="s">
        <v>29</v>
      </c>
      <c r="F7" s="20">
        <v>15</v>
      </c>
      <c r="G7" s="20">
        <v>0</v>
      </c>
      <c r="H7" s="20">
        <v>16</v>
      </c>
      <c r="I7" s="20" t="s">
        <v>25</v>
      </c>
      <c r="J7" s="20"/>
      <c r="K7" s="20"/>
      <c r="L7" s="20"/>
    </row>
    <row r="8" spans="1:12" ht="14.25" customHeight="1" x14ac:dyDescent="0.3">
      <c r="A8" s="18">
        <v>4098</v>
      </c>
      <c r="B8" s="18" t="str">
        <f t="shared" si="0"/>
        <v>0x1002</v>
      </c>
      <c r="C8" s="18" t="s">
        <v>498</v>
      </c>
      <c r="D8" s="18" t="s">
        <v>30</v>
      </c>
      <c r="E8" s="22" t="s">
        <v>31</v>
      </c>
      <c r="F8" s="18">
        <v>15</v>
      </c>
      <c r="G8" s="18">
        <v>0</v>
      </c>
      <c r="H8" s="18">
        <v>16</v>
      </c>
      <c r="I8" s="18" t="s">
        <v>25</v>
      </c>
      <c r="J8" s="18"/>
      <c r="K8" s="18"/>
      <c r="L8" s="18"/>
    </row>
    <row r="9" spans="1:12" ht="24.75" customHeight="1" x14ac:dyDescent="0.3">
      <c r="A9" s="20">
        <v>4099</v>
      </c>
      <c r="B9" s="20" t="str">
        <f t="shared" si="0"/>
        <v>0x1003</v>
      </c>
      <c r="C9" s="20" t="s">
        <v>32</v>
      </c>
      <c r="D9" s="20" t="s">
        <v>33</v>
      </c>
      <c r="E9" s="23" t="s">
        <v>34</v>
      </c>
      <c r="F9" s="20">
        <v>0</v>
      </c>
      <c r="G9" s="20">
        <v>0</v>
      </c>
      <c r="H9" s="20">
        <v>1</v>
      </c>
      <c r="I9" s="20" t="s">
        <v>25</v>
      </c>
      <c r="J9" s="20"/>
      <c r="K9" s="20"/>
      <c r="L9" s="20"/>
    </row>
    <row r="10" spans="1:12" ht="18.75" customHeight="1" x14ac:dyDescent="0.3">
      <c r="A10" s="20">
        <v>4099</v>
      </c>
      <c r="B10" s="20" t="str">
        <f t="shared" si="0"/>
        <v>0x1003</v>
      </c>
      <c r="C10" s="20" t="s">
        <v>32</v>
      </c>
      <c r="D10" s="20" t="s">
        <v>35</v>
      </c>
      <c r="E10" s="23" t="s">
        <v>36</v>
      </c>
      <c r="F10" s="20">
        <v>4</v>
      </c>
      <c r="G10" s="20">
        <v>1</v>
      </c>
      <c r="H10" s="20">
        <v>4</v>
      </c>
      <c r="I10" s="20" t="s">
        <v>25</v>
      </c>
      <c r="J10" s="20"/>
      <c r="K10" s="20"/>
      <c r="L10" s="20"/>
    </row>
    <row r="11" spans="1:12" ht="18.75" customHeight="1" x14ac:dyDescent="0.3">
      <c r="A11" s="18">
        <v>4100</v>
      </c>
      <c r="B11" s="18" t="str">
        <f t="shared" si="0"/>
        <v>0x1004</v>
      </c>
      <c r="C11" s="18" t="s">
        <v>37</v>
      </c>
      <c r="D11" s="18" t="s">
        <v>35</v>
      </c>
      <c r="E11" s="19" t="s">
        <v>38</v>
      </c>
      <c r="F11" s="18">
        <v>11</v>
      </c>
      <c r="G11" s="18">
        <v>0</v>
      </c>
      <c r="H11" s="18">
        <v>12</v>
      </c>
      <c r="I11" s="18" t="s">
        <v>25</v>
      </c>
      <c r="J11" s="18"/>
      <c r="K11" s="18"/>
      <c r="L11" s="18"/>
    </row>
    <row r="12" spans="1:12" ht="14.25" customHeight="1" x14ac:dyDescent="0.3">
      <c r="A12" s="18">
        <v>4100</v>
      </c>
      <c r="B12" s="18" t="str">
        <f t="shared" si="0"/>
        <v>0x1004</v>
      </c>
      <c r="C12" s="18" t="s">
        <v>37</v>
      </c>
      <c r="D12" s="18" t="s">
        <v>39</v>
      </c>
      <c r="E12" s="19" t="s">
        <v>40</v>
      </c>
      <c r="F12" s="18">
        <v>13</v>
      </c>
      <c r="G12" s="18">
        <v>12</v>
      </c>
      <c r="H12" s="18">
        <v>2</v>
      </c>
      <c r="I12" s="18" t="s">
        <v>41</v>
      </c>
      <c r="J12" s="18"/>
      <c r="K12" s="18"/>
      <c r="L12" s="18"/>
    </row>
    <row r="13" spans="1:12" ht="14.25" customHeight="1" x14ac:dyDescent="0.3">
      <c r="A13" s="18">
        <v>4100</v>
      </c>
      <c r="B13" s="18" t="str">
        <f t="shared" si="0"/>
        <v>0x1004</v>
      </c>
      <c r="C13" s="18" t="s">
        <v>37</v>
      </c>
      <c r="D13" s="18" t="s">
        <v>35</v>
      </c>
      <c r="E13" s="19" t="s">
        <v>42</v>
      </c>
      <c r="F13" s="18">
        <v>15</v>
      </c>
      <c r="G13" s="18">
        <v>14</v>
      </c>
      <c r="H13" s="18">
        <v>2</v>
      </c>
      <c r="I13" s="18" t="s">
        <v>25</v>
      </c>
      <c r="J13" s="18"/>
      <c r="K13" s="18"/>
      <c r="L13" s="18"/>
    </row>
    <row r="14" spans="1:12" ht="14.25" customHeight="1" x14ac:dyDescent="0.3">
      <c r="A14" s="20">
        <v>4101</v>
      </c>
      <c r="B14" s="20" t="str">
        <f t="shared" si="0"/>
        <v>0x1005</v>
      </c>
      <c r="C14" s="20" t="s">
        <v>500</v>
      </c>
      <c r="D14" s="20" t="s">
        <v>43</v>
      </c>
      <c r="E14" s="23" t="s">
        <v>44</v>
      </c>
      <c r="F14" s="20">
        <v>5</v>
      </c>
      <c r="G14" s="20">
        <v>0</v>
      </c>
      <c r="H14" s="20">
        <v>6</v>
      </c>
      <c r="I14" s="20" t="s">
        <v>41</v>
      </c>
      <c r="J14" s="20"/>
      <c r="K14" s="20"/>
      <c r="L14" s="20"/>
    </row>
    <row r="15" spans="1:12" ht="14.25" customHeight="1" x14ac:dyDescent="0.3">
      <c r="A15" s="20">
        <v>4101</v>
      </c>
      <c r="B15" s="20" t="str">
        <f t="shared" si="0"/>
        <v>0x1005</v>
      </c>
      <c r="C15" s="20" t="s">
        <v>500</v>
      </c>
      <c r="D15" s="20" t="s">
        <v>45</v>
      </c>
      <c r="E15" s="23" t="s">
        <v>46</v>
      </c>
      <c r="F15" s="20">
        <v>6</v>
      </c>
      <c r="G15" s="20">
        <v>6</v>
      </c>
      <c r="H15" s="20">
        <v>1</v>
      </c>
      <c r="I15" s="20" t="s">
        <v>41</v>
      </c>
      <c r="J15" s="20"/>
      <c r="K15" s="20"/>
      <c r="L15" s="20"/>
    </row>
    <row r="16" spans="1:12" ht="14.25" customHeight="1" x14ac:dyDescent="0.3">
      <c r="A16" s="18">
        <v>4102</v>
      </c>
      <c r="B16" s="18" t="str">
        <f t="shared" si="0"/>
        <v>0x1006</v>
      </c>
      <c r="C16" s="18" t="s">
        <v>501</v>
      </c>
      <c r="D16" s="18" t="s">
        <v>47</v>
      </c>
      <c r="E16" s="19" t="s">
        <v>48</v>
      </c>
      <c r="F16" s="18">
        <v>5</v>
      </c>
      <c r="G16" s="18">
        <v>0</v>
      </c>
      <c r="H16" s="18">
        <v>6</v>
      </c>
      <c r="I16" s="18" t="s">
        <v>41</v>
      </c>
      <c r="J16" s="18"/>
      <c r="K16" s="18"/>
      <c r="L16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topLeftCell="A39" zoomScaleNormal="100" workbookViewId="0">
      <selection activeCell="F6" sqref="F6"/>
    </sheetView>
  </sheetViews>
  <sheetFormatPr defaultColWidth="8.6640625" defaultRowHeight="14.4" x14ac:dyDescent="0.3"/>
  <cols>
    <col min="1" max="1" width="8.88671875" style="4" customWidth="1"/>
    <col min="2" max="2" width="18.88671875" customWidth="1"/>
    <col min="3" max="3" width="24.44140625" customWidth="1"/>
    <col min="4" max="4" width="31.6640625" style="4" customWidth="1"/>
    <col min="5" max="5" width="55.77734375" customWidth="1"/>
    <col min="6" max="7" width="5" customWidth="1"/>
  </cols>
  <sheetData>
    <row r="1" spans="1:12" ht="14.25" customHeight="1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  <c r="F1" s="4"/>
      <c r="G1" s="4"/>
      <c r="H1" s="4"/>
      <c r="I1" s="4"/>
      <c r="J1" s="4"/>
      <c r="K1" s="4"/>
      <c r="L1" s="4"/>
    </row>
    <row r="2" spans="1:12" ht="14.25" customHeight="1" x14ac:dyDescent="0.3">
      <c r="A2" s="9" t="s">
        <v>9</v>
      </c>
      <c r="B2" s="4"/>
      <c r="C2" s="10">
        <f>Setup!B2</f>
        <v>46161</v>
      </c>
      <c r="D2" s="10" t="str">
        <f>Setup!C2</f>
        <v>PA3</v>
      </c>
      <c r="E2" s="5" t="s">
        <v>10</v>
      </c>
      <c r="F2" s="4"/>
      <c r="G2" s="4"/>
      <c r="H2" s="4"/>
      <c r="I2" s="4"/>
      <c r="J2" s="4"/>
      <c r="K2" s="4"/>
      <c r="L2" s="4"/>
    </row>
    <row r="3" spans="1:12" ht="14.25" customHeight="1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3" t="s">
        <v>21</v>
      </c>
      <c r="L3" s="13" t="s">
        <v>22</v>
      </c>
    </row>
    <row r="4" spans="1:12" ht="14.25" customHeight="1" x14ac:dyDescent="0.3">
      <c r="A4" s="14"/>
      <c r="B4" s="14"/>
      <c r="C4" s="14"/>
      <c r="D4" s="15"/>
      <c r="E4" s="16"/>
      <c r="F4" s="14"/>
      <c r="G4" s="14"/>
      <c r="H4" s="14"/>
      <c r="I4" s="17"/>
      <c r="J4" s="14"/>
      <c r="K4" s="14"/>
      <c r="L4" s="14"/>
    </row>
    <row r="5" spans="1:12" ht="14.25" customHeight="1" x14ac:dyDescent="0.3">
      <c r="A5" s="18">
        <v>4104</v>
      </c>
      <c r="B5" s="18" t="str">
        <f t="shared" ref="B5:B36" si="0">_xlfn.CONCAT("0x",DEC2HEX(A5,4))</f>
        <v>0x1008</v>
      </c>
      <c r="C5" s="18" t="s">
        <v>49</v>
      </c>
      <c r="D5" s="18" t="s">
        <v>50</v>
      </c>
      <c r="E5" s="19" t="s">
        <v>51</v>
      </c>
      <c r="F5" s="18">
        <v>0</v>
      </c>
      <c r="G5" s="18">
        <v>0</v>
      </c>
      <c r="H5" s="18">
        <v>1</v>
      </c>
      <c r="I5" s="18" t="s">
        <v>41</v>
      </c>
      <c r="J5" s="18"/>
      <c r="K5" s="18"/>
      <c r="L5" s="18"/>
    </row>
    <row r="6" spans="1:12" ht="14.25" customHeight="1" x14ac:dyDescent="0.3">
      <c r="A6" s="18">
        <v>4104</v>
      </c>
      <c r="B6" s="18" t="str">
        <f t="shared" si="0"/>
        <v>0x1008</v>
      </c>
      <c r="C6" s="18" t="s">
        <v>49</v>
      </c>
      <c r="D6" s="18" t="s">
        <v>52</v>
      </c>
      <c r="E6" s="22"/>
      <c r="F6" s="22">
        <v>1</v>
      </c>
      <c r="G6" s="22">
        <v>1</v>
      </c>
      <c r="H6" s="22">
        <v>1</v>
      </c>
      <c r="I6" s="18" t="s">
        <v>41</v>
      </c>
      <c r="J6" s="22"/>
      <c r="K6" s="22"/>
      <c r="L6" s="22"/>
    </row>
    <row r="7" spans="1:12" ht="14.25" customHeight="1" x14ac:dyDescent="0.3">
      <c r="A7" s="18">
        <v>4104</v>
      </c>
      <c r="B7" s="18" t="str">
        <f t="shared" si="0"/>
        <v>0x1008</v>
      </c>
      <c r="C7" s="18" t="s">
        <v>49</v>
      </c>
      <c r="D7" s="18" t="s">
        <v>53</v>
      </c>
      <c r="E7" s="22" t="s">
        <v>54</v>
      </c>
      <c r="F7" s="22">
        <v>2</v>
      </c>
      <c r="G7" s="22">
        <v>2</v>
      </c>
      <c r="H7" s="22">
        <v>1</v>
      </c>
      <c r="I7" s="18" t="s">
        <v>41</v>
      </c>
      <c r="J7" s="22"/>
      <c r="K7" s="22"/>
      <c r="L7" s="22"/>
    </row>
    <row r="8" spans="1:12" ht="14.25" customHeight="1" x14ac:dyDescent="0.3">
      <c r="A8" s="18">
        <v>4104</v>
      </c>
      <c r="B8" s="18" t="str">
        <f t="shared" si="0"/>
        <v>0x1008</v>
      </c>
      <c r="C8" s="18" t="s">
        <v>49</v>
      </c>
      <c r="D8" s="18" t="s">
        <v>55</v>
      </c>
      <c r="E8" s="22" t="s">
        <v>56</v>
      </c>
      <c r="F8" s="22">
        <v>3</v>
      </c>
      <c r="G8" s="22">
        <v>3</v>
      </c>
      <c r="H8" s="22">
        <v>1</v>
      </c>
      <c r="I8" s="18" t="s">
        <v>41</v>
      </c>
      <c r="J8" s="22"/>
      <c r="K8" s="22"/>
      <c r="L8" s="22"/>
    </row>
    <row r="9" spans="1:12" ht="14.25" customHeight="1" x14ac:dyDescent="0.3">
      <c r="A9" s="18">
        <v>4104</v>
      </c>
      <c r="B9" s="18" t="str">
        <f t="shared" si="0"/>
        <v>0x1008</v>
      </c>
      <c r="C9" s="18" t="s">
        <v>49</v>
      </c>
      <c r="D9" s="18" t="s">
        <v>57</v>
      </c>
      <c r="E9" s="22" t="s">
        <v>58</v>
      </c>
      <c r="F9" s="22">
        <v>4</v>
      </c>
      <c r="G9" s="22">
        <v>4</v>
      </c>
      <c r="H9" s="22">
        <v>1</v>
      </c>
      <c r="I9" s="18" t="s">
        <v>41</v>
      </c>
      <c r="J9" s="22"/>
      <c r="K9" s="22"/>
      <c r="L9" s="22"/>
    </row>
    <row r="10" spans="1:12" ht="14.25" customHeight="1" x14ac:dyDescent="0.3">
      <c r="A10" s="18">
        <v>4104</v>
      </c>
      <c r="B10" s="18" t="str">
        <f t="shared" si="0"/>
        <v>0x1008</v>
      </c>
      <c r="C10" s="18" t="s">
        <v>49</v>
      </c>
      <c r="D10" s="18" t="s">
        <v>59</v>
      </c>
      <c r="E10" s="22" t="s">
        <v>60</v>
      </c>
      <c r="F10" s="22">
        <v>7</v>
      </c>
      <c r="G10" s="22">
        <v>7</v>
      </c>
      <c r="H10" s="22">
        <v>1</v>
      </c>
      <c r="I10" s="18" t="s">
        <v>41</v>
      </c>
      <c r="J10" s="22"/>
      <c r="K10" s="22"/>
      <c r="L10" s="22"/>
    </row>
    <row r="11" spans="1:12" ht="57" customHeight="1" x14ac:dyDescent="0.3">
      <c r="A11" s="18">
        <v>4104</v>
      </c>
      <c r="B11" s="18" t="str">
        <f t="shared" si="0"/>
        <v>0x1008</v>
      </c>
      <c r="C11" s="18" t="s">
        <v>49</v>
      </c>
      <c r="D11" s="18" t="s">
        <v>61</v>
      </c>
      <c r="E11" s="24" t="s">
        <v>62</v>
      </c>
      <c r="F11" s="22">
        <v>11</v>
      </c>
      <c r="G11" s="22">
        <v>8</v>
      </c>
      <c r="H11" s="22">
        <v>4</v>
      </c>
      <c r="I11" s="18" t="s">
        <v>41</v>
      </c>
      <c r="J11" s="22"/>
      <c r="K11" s="22"/>
      <c r="L11" s="22"/>
    </row>
    <row r="12" spans="1:12" ht="14.25" customHeight="1" x14ac:dyDescent="0.3">
      <c r="A12" s="18">
        <v>4104</v>
      </c>
      <c r="B12" s="18" t="str">
        <f t="shared" si="0"/>
        <v>0x1008</v>
      </c>
      <c r="C12" s="18" t="s">
        <v>49</v>
      </c>
      <c r="D12" s="18" t="s">
        <v>63</v>
      </c>
      <c r="E12" s="22" t="s">
        <v>64</v>
      </c>
      <c r="F12" s="22">
        <v>12</v>
      </c>
      <c r="G12" s="22">
        <v>12</v>
      </c>
      <c r="H12" s="22">
        <v>1</v>
      </c>
      <c r="I12" s="18" t="s">
        <v>41</v>
      </c>
      <c r="J12" s="22"/>
      <c r="K12" s="22"/>
      <c r="L12" s="22"/>
    </row>
    <row r="13" spans="1:12" ht="72" customHeight="1" x14ac:dyDescent="0.3">
      <c r="A13" s="20">
        <v>4105</v>
      </c>
      <c r="B13" s="20" t="str">
        <f t="shared" si="0"/>
        <v>0x1009</v>
      </c>
      <c r="C13" s="20" t="s">
        <v>65</v>
      </c>
      <c r="D13" s="20" t="s">
        <v>66</v>
      </c>
      <c r="E13" s="25" t="s">
        <v>67</v>
      </c>
      <c r="F13" s="21">
        <v>3</v>
      </c>
      <c r="G13" s="21">
        <v>0</v>
      </c>
      <c r="H13" s="21">
        <v>4</v>
      </c>
      <c r="I13" s="20" t="s">
        <v>41</v>
      </c>
      <c r="J13" s="21"/>
      <c r="K13" s="21"/>
      <c r="L13" s="21"/>
    </row>
    <row r="14" spans="1:12" ht="14.25" customHeight="1" x14ac:dyDescent="0.3">
      <c r="A14" s="20">
        <v>4105</v>
      </c>
      <c r="B14" s="20" t="str">
        <f t="shared" si="0"/>
        <v>0x1009</v>
      </c>
      <c r="C14" s="20" t="s">
        <v>65</v>
      </c>
      <c r="D14" s="20" t="s">
        <v>35</v>
      </c>
      <c r="E14" s="25" t="s">
        <v>68</v>
      </c>
      <c r="F14" s="21">
        <v>7</v>
      </c>
      <c r="G14" s="21">
        <v>4</v>
      </c>
      <c r="H14" s="21">
        <v>4</v>
      </c>
      <c r="I14" s="20" t="s">
        <v>69</v>
      </c>
      <c r="J14" s="21"/>
      <c r="K14" s="21"/>
      <c r="L14" s="21"/>
    </row>
    <row r="15" spans="1:12" ht="14.25" customHeight="1" x14ac:dyDescent="0.3">
      <c r="A15" s="20">
        <v>4105</v>
      </c>
      <c r="B15" s="20" t="str">
        <f t="shared" si="0"/>
        <v>0x1009</v>
      </c>
      <c r="C15" s="20" t="s">
        <v>65</v>
      </c>
      <c r="D15" s="20" t="s">
        <v>70</v>
      </c>
      <c r="E15" s="25" t="s">
        <v>71</v>
      </c>
      <c r="F15" s="21">
        <v>8</v>
      </c>
      <c r="G15" s="21">
        <v>8</v>
      </c>
      <c r="H15" s="21">
        <v>1</v>
      </c>
      <c r="I15" s="20" t="s">
        <v>41</v>
      </c>
      <c r="J15" s="21"/>
      <c r="K15" s="21"/>
      <c r="L15" s="21"/>
    </row>
    <row r="16" spans="1:12" ht="14.25" customHeight="1" x14ac:dyDescent="0.3">
      <c r="A16" s="20">
        <v>4105</v>
      </c>
      <c r="B16" s="20" t="str">
        <f t="shared" si="0"/>
        <v>0x1009</v>
      </c>
      <c r="C16" s="20" t="s">
        <v>65</v>
      </c>
      <c r="D16" s="20" t="s">
        <v>72</v>
      </c>
      <c r="E16" s="25" t="s">
        <v>73</v>
      </c>
      <c r="F16" s="21">
        <v>13</v>
      </c>
      <c r="G16" s="21">
        <v>9</v>
      </c>
      <c r="H16" s="21">
        <v>5</v>
      </c>
      <c r="I16" s="20" t="s">
        <v>41</v>
      </c>
      <c r="J16" s="21"/>
      <c r="K16" s="21"/>
      <c r="L16" s="21"/>
    </row>
    <row r="17" spans="1:12" ht="14.25" customHeight="1" x14ac:dyDescent="0.3">
      <c r="A17" s="20">
        <v>4105</v>
      </c>
      <c r="B17" s="20" t="str">
        <f t="shared" si="0"/>
        <v>0x1009</v>
      </c>
      <c r="C17" s="20" t="s">
        <v>65</v>
      </c>
      <c r="D17" s="20" t="s">
        <v>35</v>
      </c>
      <c r="E17" s="25" t="s">
        <v>74</v>
      </c>
      <c r="F17" s="21">
        <v>14</v>
      </c>
      <c r="G17" s="21">
        <v>14</v>
      </c>
      <c r="H17" s="21">
        <v>1</v>
      </c>
      <c r="I17" s="20" t="s">
        <v>41</v>
      </c>
      <c r="J17" s="21"/>
      <c r="K17" s="21"/>
      <c r="L17" s="21"/>
    </row>
    <row r="18" spans="1:12" ht="72" customHeight="1" x14ac:dyDescent="0.3">
      <c r="A18" s="18">
        <v>4106</v>
      </c>
      <c r="B18" s="18" t="str">
        <f t="shared" si="0"/>
        <v>0x100A</v>
      </c>
      <c r="C18" s="18" t="s">
        <v>75</v>
      </c>
      <c r="D18" s="18" t="s">
        <v>76</v>
      </c>
      <c r="E18" s="24" t="s">
        <v>77</v>
      </c>
      <c r="F18" s="22">
        <v>3</v>
      </c>
      <c r="G18" s="22">
        <v>0</v>
      </c>
      <c r="H18" s="22">
        <v>4</v>
      </c>
      <c r="I18" s="18" t="s">
        <v>41</v>
      </c>
      <c r="J18" s="22"/>
      <c r="K18" s="22"/>
      <c r="L18" s="22"/>
    </row>
    <row r="19" spans="1:12" ht="14.25" customHeight="1" x14ac:dyDescent="0.3">
      <c r="A19" s="18">
        <v>4106</v>
      </c>
      <c r="B19" s="18" t="str">
        <f t="shared" si="0"/>
        <v>0x100A</v>
      </c>
      <c r="C19" s="18" t="s">
        <v>75</v>
      </c>
      <c r="D19" s="18" t="s">
        <v>35</v>
      </c>
      <c r="E19" s="24" t="s">
        <v>68</v>
      </c>
      <c r="F19" s="22">
        <v>7</v>
      </c>
      <c r="G19" s="22">
        <v>4</v>
      </c>
      <c r="H19" s="22">
        <v>4</v>
      </c>
      <c r="I19" s="18" t="s">
        <v>69</v>
      </c>
      <c r="J19" s="22"/>
      <c r="K19" s="22"/>
      <c r="L19" s="22"/>
    </row>
    <row r="20" spans="1:12" ht="14.25" customHeight="1" x14ac:dyDescent="0.3">
      <c r="A20" s="18">
        <v>4106</v>
      </c>
      <c r="B20" s="18" t="str">
        <f t="shared" si="0"/>
        <v>0x100A</v>
      </c>
      <c r="C20" s="18" t="s">
        <v>75</v>
      </c>
      <c r="D20" s="18" t="s">
        <v>78</v>
      </c>
      <c r="E20" s="24" t="s">
        <v>71</v>
      </c>
      <c r="F20" s="22">
        <v>8</v>
      </c>
      <c r="G20" s="22">
        <v>8</v>
      </c>
      <c r="H20" s="22">
        <v>1</v>
      </c>
      <c r="I20" s="18" t="s">
        <v>41</v>
      </c>
      <c r="J20" s="22"/>
      <c r="K20" s="22"/>
      <c r="L20" s="22"/>
    </row>
    <row r="21" spans="1:12" ht="14.25" customHeight="1" x14ac:dyDescent="0.3">
      <c r="A21" s="18">
        <v>4106</v>
      </c>
      <c r="B21" s="18" t="str">
        <f t="shared" si="0"/>
        <v>0x100A</v>
      </c>
      <c r="C21" s="18" t="s">
        <v>75</v>
      </c>
      <c r="D21" s="18" t="s">
        <v>79</v>
      </c>
      <c r="E21" s="24" t="s">
        <v>73</v>
      </c>
      <c r="F21" s="22">
        <v>13</v>
      </c>
      <c r="G21" s="22">
        <v>9</v>
      </c>
      <c r="H21" s="22">
        <v>5</v>
      </c>
      <c r="I21" s="18" t="s">
        <v>41</v>
      </c>
      <c r="J21" s="22"/>
      <c r="K21" s="22"/>
      <c r="L21" s="22"/>
    </row>
    <row r="22" spans="1:12" ht="14.25" customHeight="1" x14ac:dyDescent="0.3">
      <c r="A22" s="18">
        <v>4106</v>
      </c>
      <c r="B22" s="18" t="str">
        <f t="shared" si="0"/>
        <v>0x100A</v>
      </c>
      <c r="C22" s="18" t="s">
        <v>75</v>
      </c>
      <c r="D22" s="18" t="s">
        <v>35</v>
      </c>
      <c r="E22" s="24" t="s">
        <v>74</v>
      </c>
      <c r="F22" s="22">
        <v>14</v>
      </c>
      <c r="G22" s="22">
        <v>14</v>
      </c>
      <c r="H22" s="22">
        <v>1</v>
      </c>
      <c r="I22" s="18" t="s">
        <v>41</v>
      </c>
      <c r="J22" s="22"/>
      <c r="K22" s="22"/>
      <c r="L22" s="22"/>
    </row>
    <row r="23" spans="1:12" ht="28.5" customHeight="1" x14ac:dyDescent="0.3">
      <c r="A23" s="20">
        <v>4107</v>
      </c>
      <c r="B23" s="20" t="str">
        <f t="shared" si="0"/>
        <v>0x100B</v>
      </c>
      <c r="C23" s="20" t="s">
        <v>80</v>
      </c>
      <c r="D23" s="20" t="s">
        <v>81</v>
      </c>
      <c r="E23" s="25" t="s">
        <v>82</v>
      </c>
      <c r="F23" s="21">
        <v>8</v>
      </c>
      <c r="G23" s="21">
        <v>8</v>
      </c>
      <c r="H23" s="21">
        <v>1</v>
      </c>
      <c r="I23" s="20" t="s">
        <v>41</v>
      </c>
      <c r="J23" s="21"/>
      <c r="K23" s="21"/>
      <c r="L23" s="21"/>
    </row>
    <row r="24" spans="1:12" ht="57" customHeight="1" x14ac:dyDescent="0.3">
      <c r="A24" s="18">
        <v>4108</v>
      </c>
      <c r="B24" s="18" t="str">
        <f t="shared" si="0"/>
        <v>0x100C</v>
      </c>
      <c r="C24" s="18" t="s">
        <v>83</v>
      </c>
      <c r="D24" s="18" t="s">
        <v>84</v>
      </c>
      <c r="E24" s="24" t="s">
        <v>85</v>
      </c>
      <c r="F24" s="22">
        <v>2</v>
      </c>
      <c r="G24" s="22">
        <v>0</v>
      </c>
      <c r="H24" s="22">
        <v>3</v>
      </c>
      <c r="I24" s="22" t="s">
        <v>41</v>
      </c>
      <c r="J24" s="22"/>
      <c r="K24" s="22"/>
      <c r="L24" s="22"/>
    </row>
    <row r="25" spans="1:12" ht="57" customHeight="1" x14ac:dyDescent="0.3">
      <c r="A25" s="18">
        <v>4108</v>
      </c>
      <c r="B25" s="18" t="str">
        <f t="shared" si="0"/>
        <v>0x100C</v>
      </c>
      <c r="C25" s="18" t="s">
        <v>83</v>
      </c>
      <c r="D25" s="18" t="s">
        <v>86</v>
      </c>
      <c r="E25" s="24" t="s">
        <v>87</v>
      </c>
      <c r="F25" s="22">
        <v>10</v>
      </c>
      <c r="G25" s="22">
        <v>8</v>
      </c>
      <c r="H25" s="22">
        <v>3</v>
      </c>
      <c r="I25" s="22" t="s">
        <v>41</v>
      </c>
      <c r="J25" s="22"/>
      <c r="K25" s="22"/>
      <c r="L25" s="22"/>
    </row>
    <row r="26" spans="1:12" ht="57" customHeight="1" x14ac:dyDescent="0.3">
      <c r="A26" s="20">
        <v>4109</v>
      </c>
      <c r="B26" s="20" t="str">
        <f t="shared" si="0"/>
        <v>0x100D</v>
      </c>
      <c r="C26" s="20" t="s">
        <v>88</v>
      </c>
      <c r="D26" s="20" t="s">
        <v>89</v>
      </c>
      <c r="E26" s="25" t="s">
        <v>90</v>
      </c>
      <c r="F26" s="21">
        <v>2</v>
      </c>
      <c r="G26" s="21">
        <v>0</v>
      </c>
      <c r="H26" s="21">
        <v>3</v>
      </c>
      <c r="I26" s="21" t="s">
        <v>41</v>
      </c>
      <c r="J26" s="21"/>
      <c r="K26" s="21"/>
      <c r="L26" s="21"/>
    </row>
    <row r="27" spans="1:12" ht="57" customHeight="1" x14ac:dyDescent="0.3">
      <c r="A27" s="20">
        <v>4109</v>
      </c>
      <c r="B27" s="20" t="str">
        <f t="shared" si="0"/>
        <v>0x100D</v>
      </c>
      <c r="C27" s="20" t="s">
        <v>88</v>
      </c>
      <c r="D27" s="20" t="s">
        <v>91</v>
      </c>
      <c r="E27" s="25" t="s">
        <v>92</v>
      </c>
      <c r="F27" s="21">
        <v>10</v>
      </c>
      <c r="G27" s="21">
        <v>8</v>
      </c>
      <c r="H27" s="21">
        <v>3</v>
      </c>
      <c r="I27" s="21" t="s">
        <v>41</v>
      </c>
      <c r="J27" s="21"/>
      <c r="K27" s="21"/>
      <c r="L27" s="21"/>
    </row>
    <row r="28" spans="1:12" ht="57" customHeight="1" x14ac:dyDescent="0.3">
      <c r="A28" s="18">
        <v>4110</v>
      </c>
      <c r="B28" s="18" t="str">
        <f t="shared" si="0"/>
        <v>0x100E</v>
      </c>
      <c r="C28" s="18" t="s">
        <v>93</v>
      </c>
      <c r="D28" s="18" t="s">
        <v>94</v>
      </c>
      <c r="E28" s="24" t="s">
        <v>95</v>
      </c>
      <c r="F28" s="22">
        <v>2</v>
      </c>
      <c r="G28" s="22">
        <v>0</v>
      </c>
      <c r="H28" s="22">
        <v>3</v>
      </c>
      <c r="I28" s="22" t="s">
        <v>41</v>
      </c>
      <c r="J28" s="22"/>
      <c r="K28" s="22"/>
      <c r="L28" s="22"/>
    </row>
    <row r="29" spans="1:12" ht="57" customHeight="1" x14ac:dyDescent="0.3">
      <c r="A29" s="18">
        <v>4110</v>
      </c>
      <c r="B29" s="18" t="str">
        <f t="shared" si="0"/>
        <v>0x100E</v>
      </c>
      <c r="C29" s="18" t="s">
        <v>93</v>
      </c>
      <c r="D29" s="18" t="s">
        <v>96</v>
      </c>
      <c r="E29" s="24" t="s">
        <v>97</v>
      </c>
      <c r="F29" s="22">
        <v>10</v>
      </c>
      <c r="G29" s="22">
        <v>8</v>
      </c>
      <c r="H29" s="22">
        <v>3</v>
      </c>
      <c r="I29" s="22" t="s">
        <v>41</v>
      </c>
      <c r="J29" s="22"/>
      <c r="K29" s="22"/>
      <c r="L29" s="22"/>
    </row>
    <row r="30" spans="1:12" ht="57" customHeight="1" x14ac:dyDescent="0.3">
      <c r="A30" s="20">
        <v>4111</v>
      </c>
      <c r="B30" s="20" t="str">
        <f t="shared" si="0"/>
        <v>0x100F</v>
      </c>
      <c r="C30" s="20" t="s">
        <v>98</v>
      </c>
      <c r="D30" s="20" t="s">
        <v>99</v>
      </c>
      <c r="E30" s="25" t="s">
        <v>100</v>
      </c>
      <c r="F30" s="21">
        <v>2</v>
      </c>
      <c r="G30" s="21">
        <v>0</v>
      </c>
      <c r="H30" s="21">
        <v>3</v>
      </c>
      <c r="I30" s="21" t="s">
        <v>41</v>
      </c>
      <c r="J30" s="21"/>
      <c r="K30" s="21"/>
      <c r="L30" s="21"/>
    </row>
    <row r="31" spans="1:12" ht="57" customHeight="1" x14ac:dyDescent="0.3">
      <c r="A31" s="20">
        <v>4111</v>
      </c>
      <c r="B31" s="20" t="str">
        <f t="shared" si="0"/>
        <v>0x100F</v>
      </c>
      <c r="C31" s="20" t="s">
        <v>98</v>
      </c>
      <c r="D31" s="20" t="s">
        <v>101</v>
      </c>
      <c r="E31" s="25" t="s">
        <v>102</v>
      </c>
      <c r="F31" s="21">
        <v>10</v>
      </c>
      <c r="G31" s="21">
        <v>8</v>
      </c>
      <c r="H31" s="21">
        <v>3</v>
      </c>
      <c r="I31" s="21" t="s">
        <v>41</v>
      </c>
      <c r="J31" s="21"/>
      <c r="K31" s="21"/>
      <c r="L31" s="21"/>
    </row>
    <row r="32" spans="1:12" ht="57" customHeight="1" x14ac:dyDescent="0.3">
      <c r="A32" s="18">
        <v>4112</v>
      </c>
      <c r="B32" s="18" t="str">
        <f t="shared" si="0"/>
        <v>0x1010</v>
      </c>
      <c r="C32" s="18" t="s">
        <v>103</v>
      </c>
      <c r="D32" s="18" t="s">
        <v>104</v>
      </c>
      <c r="E32" s="24" t="s">
        <v>105</v>
      </c>
      <c r="F32" s="22">
        <v>2</v>
      </c>
      <c r="G32" s="22">
        <v>0</v>
      </c>
      <c r="H32" s="22">
        <v>3</v>
      </c>
      <c r="I32" s="22" t="s">
        <v>41</v>
      </c>
      <c r="J32" s="22"/>
      <c r="K32" s="22"/>
      <c r="L32" s="22"/>
    </row>
    <row r="33" spans="1:12" ht="57" customHeight="1" x14ac:dyDescent="0.3">
      <c r="A33" s="18">
        <v>4112</v>
      </c>
      <c r="B33" s="18" t="str">
        <f t="shared" si="0"/>
        <v>0x1010</v>
      </c>
      <c r="C33" s="18" t="s">
        <v>103</v>
      </c>
      <c r="D33" s="18" t="s">
        <v>106</v>
      </c>
      <c r="E33" s="24" t="s">
        <v>107</v>
      </c>
      <c r="F33" s="22">
        <v>5</v>
      </c>
      <c r="G33" s="22">
        <v>3</v>
      </c>
      <c r="H33" s="22">
        <v>3</v>
      </c>
      <c r="I33" s="22" t="s">
        <v>41</v>
      </c>
      <c r="J33" s="22"/>
      <c r="K33" s="22"/>
      <c r="L33" s="22"/>
    </row>
    <row r="34" spans="1:12" ht="14.25" customHeight="1" x14ac:dyDescent="0.3">
      <c r="A34" s="18">
        <v>4112</v>
      </c>
      <c r="B34" s="18" t="str">
        <f t="shared" si="0"/>
        <v>0x1010</v>
      </c>
      <c r="C34" s="22" t="s">
        <v>103</v>
      </c>
      <c r="D34" s="18" t="s">
        <v>108</v>
      </c>
      <c r="E34" s="22"/>
      <c r="F34" s="22">
        <v>6</v>
      </c>
      <c r="G34" s="22">
        <v>6</v>
      </c>
      <c r="H34" s="22">
        <v>1</v>
      </c>
      <c r="I34" s="22" t="s">
        <v>41</v>
      </c>
      <c r="J34" s="22"/>
      <c r="K34" s="22"/>
      <c r="L34" s="22"/>
    </row>
    <row r="35" spans="1:12" ht="14.25" customHeight="1" x14ac:dyDescent="0.3">
      <c r="A35" s="18">
        <v>4112</v>
      </c>
      <c r="B35" s="18" t="str">
        <f t="shared" si="0"/>
        <v>0x1010</v>
      </c>
      <c r="C35" s="22" t="s">
        <v>103</v>
      </c>
      <c r="D35" s="18" t="s">
        <v>109</v>
      </c>
      <c r="E35" s="22"/>
      <c r="F35" s="22">
        <v>7</v>
      </c>
      <c r="G35" s="22">
        <v>7</v>
      </c>
      <c r="H35" s="22">
        <v>1</v>
      </c>
      <c r="I35" s="22" t="s">
        <v>41</v>
      </c>
      <c r="J35" s="22"/>
      <c r="K35" s="22"/>
      <c r="L35" s="22"/>
    </row>
    <row r="36" spans="1:12" ht="14.25" customHeight="1" x14ac:dyDescent="0.3">
      <c r="A36" s="18">
        <v>4112</v>
      </c>
      <c r="B36" s="18" t="str">
        <f t="shared" si="0"/>
        <v>0x1010</v>
      </c>
      <c r="C36" s="22" t="s">
        <v>103</v>
      </c>
      <c r="D36" s="18" t="s">
        <v>110</v>
      </c>
      <c r="E36" s="22"/>
      <c r="F36" s="22">
        <v>8</v>
      </c>
      <c r="G36" s="22">
        <v>8</v>
      </c>
      <c r="H36" s="22">
        <v>1</v>
      </c>
      <c r="I36" s="22" t="s">
        <v>41</v>
      </c>
      <c r="J36" s="22"/>
      <c r="K36" s="22"/>
      <c r="L36" s="22"/>
    </row>
    <row r="37" spans="1:12" ht="14.25" customHeight="1" x14ac:dyDescent="0.3">
      <c r="A37" s="18">
        <v>4112</v>
      </c>
      <c r="B37" s="18" t="str">
        <f t="shared" ref="B37:B67" si="1">_xlfn.CONCAT("0x",DEC2HEX(A37,4))</f>
        <v>0x1010</v>
      </c>
      <c r="C37" s="22" t="s">
        <v>103</v>
      </c>
      <c r="D37" s="18" t="s">
        <v>111</v>
      </c>
      <c r="E37" s="22" t="s">
        <v>112</v>
      </c>
      <c r="F37" s="22">
        <v>9</v>
      </c>
      <c r="G37" s="22">
        <v>9</v>
      </c>
      <c r="H37" s="22">
        <v>1</v>
      </c>
      <c r="I37" s="22" t="s">
        <v>41</v>
      </c>
      <c r="J37" s="22"/>
      <c r="K37" s="22"/>
      <c r="L37" s="22"/>
    </row>
    <row r="38" spans="1:12" ht="57" customHeight="1" x14ac:dyDescent="0.3">
      <c r="A38" s="20">
        <v>4113</v>
      </c>
      <c r="B38" s="20" t="str">
        <f t="shared" si="1"/>
        <v>0x1011</v>
      </c>
      <c r="C38" s="20" t="s">
        <v>113</v>
      </c>
      <c r="D38" s="20" t="s">
        <v>114</v>
      </c>
      <c r="E38" s="25" t="s">
        <v>115</v>
      </c>
      <c r="F38" s="21">
        <v>2</v>
      </c>
      <c r="G38" s="21">
        <v>0</v>
      </c>
      <c r="H38" s="21">
        <v>3</v>
      </c>
      <c r="I38" s="21" t="s">
        <v>41</v>
      </c>
      <c r="J38" s="21"/>
      <c r="K38" s="21"/>
      <c r="L38" s="21"/>
    </row>
    <row r="39" spans="1:12" ht="57" customHeight="1" x14ac:dyDescent="0.3">
      <c r="A39" s="20">
        <v>4113</v>
      </c>
      <c r="B39" s="20" t="str">
        <f t="shared" si="1"/>
        <v>0x1011</v>
      </c>
      <c r="C39" s="20" t="s">
        <v>113</v>
      </c>
      <c r="D39" s="20" t="s">
        <v>116</v>
      </c>
      <c r="E39" s="25" t="s">
        <v>117</v>
      </c>
      <c r="F39" s="21">
        <v>5</v>
      </c>
      <c r="G39" s="21">
        <v>3</v>
      </c>
      <c r="H39" s="21">
        <v>3</v>
      </c>
      <c r="I39" s="21" t="s">
        <v>41</v>
      </c>
      <c r="J39" s="21"/>
      <c r="K39" s="21"/>
      <c r="L39" s="21"/>
    </row>
    <row r="40" spans="1:12" ht="14.25" customHeight="1" x14ac:dyDescent="0.3">
      <c r="A40" s="20">
        <v>4113</v>
      </c>
      <c r="B40" s="20" t="str">
        <f t="shared" si="1"/>
        <v>0x1011</v>
      </c>
      <c r="C40" s="21" t="s">
        <v>113</v>
      </c>
      <c r="D40" s="20" t="s">
        <v>118</v>
      </c>
      <c r="E40" s="21"/>
      <c r="F40" s="21">
        <v>6</v>
      </c>
      <c r="G40" s="21">
        <v>6</v>
      </c>
      <c r="H40" s="21">
        <v>1</v>
      </c>
      <c r="I40" s="21" t="s">
        <v>41</v>
      </c>
      <c r="J40" s="21"/>
      <c r="K40" s="21"/>
      <c r="L40" s="21"/>
    </row>
    <row r="41" spans="1:12" ht="14.25" customHeight="1" x14ac:dyDescent="0.3">
      <c r="A41" s="20">
        <v>4113</v>
      </c>
      <c r="B41" s="20" t="str">
        <f t="shared" si="1"/>
        <v>0x1011</v>
      </c>
      <c r="C41" s="21" t="s">
        <v>113</v>
      </c>
      <c r="D41" s="20" t="s">
        <v>119</v>
      </c>
      <c r="E41" s="21"/>
      <c r="F41" s="21">
        <v>7</v>
      </c>
      <c r="G41" s="21">
        <v>7</v>
      </c>
      <c r="H41" s="21">
        <v>1</v>
      </c>
      <c r="I41" s="21" t="s">
        <v>41</v>
      </c>
      <c r="J41" s="21"/>
      <c r="K41" s="21"/>
      <c r="L41" s="21"/>
    </row>
    <row r="42" spans="1:12" ht="14.25" customHeight="1" x14ac:dyDescent="0.3">
      <c r="A42" s="20">
        <v>4113</v>
      </c>
      <c r="B42" s="20" t="str">
        <f t="shared" si="1"/>
        <v>0x1011</v>
      </c>
      <c r="C42" s="21" t="s">
        <v>113</v>
      </c>
      <c r="D42" s="20" t="s">
        <v>120</v>
      </c>
      <c r="E42" s="21"/>
      <c r="F42" s="21">
        <v>8</v>
      </c>
      <c r="G42" s="21">
        <v>8</v>
      </c>
      <c r="H42" s="21">
        <v>1</v>
      </c>
      <c r="I42" s="21" t="s">
        <v>41</v>
      </c>
      <c r="J42" s="21"/>
      <c r="K42" s="21"/>
      <c r="L42" s="21"/>
    </row>
    <row r="43" spans="1:12" ht="14.25" customHeight="1" x14ac:dyDescent="0.3">
      <c r="A43" s="20">
        <v>4113</v>
      </c>
      <c r="B43" s="20" t="str">
        <f t="shared" si="1"/>
        <v>0x1011</v>
      </c>
      <c r="C43" s="21" t="s">
        <v>113</v>
      </c>
      <c r="D43" s="20" t="s">
        <v>121</v>
      </c>
      <c r="E43" s="21" t="s">
        <v>122</v>
      </c>
      <c r="F43" s="21">
        <v>9</v>
      </c>
      <c r="G43" s="21">
        <v>9</v>
      </c>
      <c r="H43" s="21">
        <v>1</v>
      </c>
      <c r="I43" s="21" t="s">
        <v>41</v>
      </c>
      <c r="J43" s="21"/>
      <c r="K43" s="21"/>
      <c r="L43" s="21"/>
    </row>
    <row r="44" spans="1:12" ht="57" customHeight="1" x14ac:dyDescent="0.3">
      <c r="A44" s="18">
        <v>4114</v>
      </c>
      <c r="B44" s="18" t="str">
        <f t="shared" si="1"/>
        <v>0x1012</v>
      </c>
      <c r="C44" s="18" t="s">
        <v>123</v>
      </c>
      <c r="D44" s="18" t="s">
        <v>124</v>
      </c>
      <c r="E44" s="24" t="s">
        <v>125</v>
      </c>
      <c r="F44" s="22">
        <v>2</v>
      </c>
      <c r="G44" s="22">
        <v>0</v>
      </c>
      <c r="H44" s="22">
        <v>3</v>
      </c>
      <c r="I44" s="22" t="s">
        <v>41</v>
      </c>
      <c r="J44" s="22"/>
      <c r="K44" s="22"/>
      <c r="L44" s="22"/>
    </row>
    <row r="45" spans="1:12" ht="57" customHeight="1" x14ac:dyDescent="0.3">
      <c r="A45" s="18">
        <v>4114</v>
      </c>
      <c r="B45" s="18" t="str">
        <f t="shared" si="1"/>
        <v>0x1012</v>
      </c>
      <c r="C45" s="18" t="s">
        <v>123</v>
      </c>
      <c r="D45" s="18" t="s">
        <v>126</v>
      </c>
      <c r="E45" s="24" t="s">
        <v>127</v>
      </c>
      <c r="F45" s="22">
        <v>5</v>
      </c>
      <c r="G45" s="22">
        <v>3</v>
      </c>
      <c r="H45" s="22">
        <v>3</v>
      </c>
      <c r="I45" s="22" t="s">
        <v>41</v>
      </c>
      <c r="J45" s="22"/>
      <c r="K45" s="22"/>
      <c r="L45" s="22"/>
    </row>
    <row r="46" spans="1:12" ht="14.25" customHeight="1" x14ac:dyDescent="0.3">
      <c r="A46" s="18">
        <v>4114</v>
      </c>
      <c r="B46" s="18" t="str">
        <f t="shared" si="1"/>
        <v>0x1012</v>
      </c>
      <c r="C46" s="22" t="s">
        <v>123</v>
      </c>
      <c r="D46" s="18" t="s">
        <v>128</v>
      </c>
      <c r="E46" s="22"/>
      <c r="F46" s="22">
        <v>6</v>
      </c>
      <c r="G46" s="22">
        <v>6</v>
      </c>
      <c r="H46" s="22">
        <v>1</v>
      </c>
      <c r="I46" s="22" t="s">
        <v>41</v>
      </c>
      <c r="J46" s="22"/>
      <c r="K46" s="22"/>
      <c r="L46" s="22"/>
    </row>
    <row r="47" spans="1:12" ht="14.25" customHeight="1" x14ac:dyDescent="0.3">
      <c r="A47" s="18">
        <v>4114</v>
      </c>
      <c r="B47" s="18" t="str">
        <f t="shared" si="1"/>
        <v>0x1012</v>
      </c>
      <c r="C47" s="22" t="s">
        <v>123</v>
      </c>
      <c r="D47" s="18" t="s">
        <v>129</v>
      </c>
      <c r="E47" s="22"/>
      <c r="F47" s="22">
        <v>7</v>
      </c>
      <c r="G47" s="22">
        <v>7</v>
      </c>
      <c r="H47" s="22">
        <v>1</v>
      </c>
      <c r="I47" s="22" t="s">
        <v>41</v>
      </c>
      <c r="J47" s="22"/>
      <c r="K47" s="22"/>
      <c r="L47" s="22"/>
    </row>
    <row r="48" spans="1:12" ht="14.25" customHeight="1" x14ac:dyDescent="0.3">
      <c r="A48" s="18">
        <v>4114</v>
      </c>
      <c r="B48" s="18" t="str">
        <f t="shared" si="1"/>
        <v>0x1012</v>
      </c>
      <c r="C48" s="22" t="s">
        <v>123</v>
      </c>
      <c r="D48" s="18" t="s">
        <v>130</v>
      </c>
      <c r="E48" s="22"/>
      <c r="F48" s="22">
        <v>8</v>
      </c>
      <c r="G48" s="22">
        <v>8</v>
      </c>
      <c r="H48" s="22">
        <v>1</v>
      </c>
      <c r="I48" s="22" t="s">
        <v>41</v>
      </c>
      <c r="J48" s="22"/>
      <c r="K48" s="22"/>
      <c r="L48" s="22"/>
    </row>
    <row r="49" spans="1:12" ht="14.25" customHeight="1" x14ac:dyDescent="0.3">
      <c r="A49" s="18">
        <v>4114</v>
      </c>
      <c r="B49" s="18" t="str">
        <f t="shared" si="1"/>
        <v>0x1012</v>
      </c>
      <c r="C49" s="22" t="s">
        <v>123</v>
      </c>
      <c r="D49" s="18" t="s">
        <v>131</v>
      </c>
      <c r="E49" s="22" t="s">
        <v>112</v>
      </c>
      <c r="F49" s="22">
        <v>9</v>
      </c>
      <c r="G49" s="22">
        <v>9</v>
      </c>
      <c r="H49" s="22">
        <v>1</v>
      </c>
      <c r="I49" s="22" t="s">
        <v>41</v>
      </c>
      <c r="J49" s="22"/>
      <c r="K49" s="22"/>
      <c r="L49" s="22"/>
    </row>
    <row r="50" spans="1:12" ht="57" customHeight="1" x14ac:dyDescent="0.3">
      <c r="A50" s="20">
        <v>4115</v>
      </c>
      <c r="B50" s="20" t="str">
        <f t="shared" si="1"/>
        <v>0x1013</v>
      </c>
      <c r="C50" s="20" t="s">
        <v>132</v>
      </c>
      <c r="D50" s="20" t="s">
        <v>133</v>
      </c>
      <c r="E50" s="25" t="s">
        <v>134</v>
      </c>
      <c r="F50" s="21">
        <v>2</v>
      </c>
      <c r="G50" s="21">
        <v>0</v>
      </c>
      <c r="H50" s="21">
        <v>3</v>
      </c>
      <c r="I50" s="21" t="s">
        <v>41</v>
      </c>
      <c r="J50" s="21"/>
      <c r="K50" s="21"/>
      <c r="L50" s="21"/>
    </row>
    <row r="51" spans="1:12" ht="57" customHeight="1" x14ac:dyDescent="0.3">
      <c r="A51" s="20">
        <v>4115</v>
      </c>
      <c r="B51" s="20" t="str">
        <f t="shared" si="1"/>
        <v>0x1013</v>
      </c>
      <c r="C51" s="20" t="s">
        <v>132</v>
      </c>
      <c r="D51" s="20" t="s">
        <v>135</v>
      </c>
      <c r="E51" s="25" t="s">
        <v>136</v>
      </c>
      <c r="F51" s="21">
        <v>5</v>
      </c>
      <c r="G51" s="21">
        <v>3</v>
      </c>
      <c r="H51" s="21">
        <v>3</v>
      </c>
      <c r="I51" s="21" t="s">
        <v>41</v>
      </c>
      <c r="J51" s="21"/>
      <c r="K51" s="21"/>
      <c r="L51" s="21"/>
    </row>
    <row r="52" spans="1:12" ht="14.25" customHeight="1" x14ac:dyDescent="0.3">
      <c r="A52" s="20">
        <v>4115</v>
      </c>
      <c r="B52" s="20" t="str">
        <f t="shared" si="1"/>
        <v>0x1013</v>
      </c>
      <c r="C52" s="20" t="s">
        <v>132</v>
      </c>
      <c r="D52" s="20" t="s">
        <v>137</v>
      </c>
      <c r="E52" s="21"/>
      <c r="F52" s="21">
        <v>6</v>
      </c>
      <c r="G52" s="21">
        <v>6</v>
      </c>
      <c r="H52" s="21">
        <v>1</v>
      </c>
      <c r="I52" s="21" t="s">
        <v>41</v>
      </c>
      <c r="J52" s="21"/>
      <c r="K52" s="21"/>
      <c r="L52" s="21"/>
    </row>
    <row r="53" spans="1:12" ht="14.25" customHeight="1" x14ac:dyDescent="0.3">
      <c r="A53" s="20">
        <v>4115</v>
      </c>
      <c r="B53" s="20" t="str">
        <f t="shared" si="1"/>
        <v>0x1013</v>
      </c>
      <c r="C53" s="20" t="s">
        <v>132</v>
      </c>
      <c r="D53" s="20" t="s">
        <v>138</v>
      </c>
      <c r="E53" s="21"/>
      <c r="F53" s="21">
        <v>7</v>
      </c>
      <c r="G53" s="21">
        <v>7</v>
      </c>
      <c r="H53" s="21">
        <v>1</v>
      </c>
      <c r="I53" s="21" t="s">
        <v>41</v>
      </c>
      <c r="J53" s="21"/>
      <c r="K53" s="21"/>
      <c r="L53" s="21"/>
    </row>
    <row r="54" spans="1:12" ht="14.25" customHeight="1" x14ac:dyDescent="0.3">
      <c r="A54" s="20">
        <v>4115</v>
      </c>
      <c r="B54" s="20" t="str">
        <f t="shared" si="1"/>
        <v>0x1013</v>
      </c>
      <c r="C54" s="20" t="s">
        <v>132</v>
      </c>
      <c r="D54" s="20" t="s">
        <v>139</v>
      </c>
      <c r="E54" s="21"/>
      <c r="F54" s="21">
        <v>8</v>
      </c>
      <c r="G54" s="21">
        <v>8</v>
      </c>
      <c r="H54" s="21">
        <v>1</v>
      </c>
      <c r="I54" s="21" t="s">
        <v>41</v>
      </c>
      <c r="J54" s="21"/>
      <c r="K54" s="21"/>
      <c r="L54" s="21"/>
    </row>
    <row r="55" spans="1:12" ht="14.25" customHeight="1" x14ac:dyDescent="0.3">
      <c r="A55" s="20">
        <v>4115</v>
      </c>
      <c r="B55" s="20" t="str">
        <f t="shared" si="1"/>
        <v>0x1013</v>
      </c>
      <c r="C55" s="20" t="s">
        <v>132</v>
      </c>
      <c r="D55" s="20" t="s">
        <v>140</v>
      </c>
      <c r="E55" s="21" t="s">
        <v>112</v>
      </c>
      <c r="F55" s="21">
        <v>9</v>
      </c>
      <c r="G55" s="21">
        <v>9</v>
      </c>
      <c r="H55" s="21">
        <v>1</v>
      </c>
      <c r="I55" s="21" t="s">
        <v>41</v>
      </c>
      <c r="J55" s="21"/>
      <c r="K55" s="21"/>
      <c r="L55" s="21"/>
    </row>
    <row r="56" spans="1:12" ht="14.25" customHeight="1" x14ac:dyDescent="0.3">
      <c r="A56" s="18">
        <v>4120</v>
      </c>
      <c r="B56" s="18" t="str">
        <f t="shared" si="1"/>
        <v>0x1018</v>
      </c>
      <c r="C56" s="18" t="s">
        <v>141</v>
      </c>
      <c r="D56" s="18" t="s">
        <v>142</v>
      </c>
      <c r="E56" s="22" t="s">
        <v>143</v>
      </c>
      <c r="F56" s="22">
        <v>3</v>
      </c>
      <c r="G56" s="22">
        <v>0</v>
      </c>
      <c r="H56" s="22">
        <v>4</v>
      </c>
      <c r="I56" s="22" t="s">
        <v>41</v>
      </c>
      <c r="J56" s="22"/>
      <c r="K56" s="22"/>
      <c r="L56" s="22"/>
    </row>
    <row r="57" spans="1:12" ht="14.25" customHeight="1" x14ac:dyDescent="0.3">
      <c r="A57" s="18">
        <v>4120</v>
      </c>
      <c r="B57" s="18" t="str">
        <f t="shared" si="1"/>
        <v>0x1018</v>
      </c>
      <c r="C57" s="18" t="s">
        <v>141</v>
      </c>
      <c r="D57" s="18" t="s">
        <v>144</v>
      </c>
      <c r="E57" s="22" t="s">
        <v>145</v>
      </c>
      <c r="F57" s="22">
        <v>11</v>
      </c>
      <c r="G57" s="22">
        <v>8</v>
      </c>
      <c r="H57" s="22">
        <v>4</v>
      </c>
      <c r="I57" s="22" t="s">
        <v>41</v>
      </c>
      <c r="J57" s="22"/>
      <c r="K57" s="22"/>
      <c r="L57" s="22"/>
    </row>
    <row r="58" spans="1:12" ht="14.25" customHeight="1" x14ac:dyDescent="0.3">
      <c r="A58" s="18">
        <v>4120</v>
      </c>
      <c r="B58" s="18" t="str">
        <f t="shared" si="1"/>
        <v>0x1018</v>
      </c>
      <c r="C58" s="18" t="s">
        <v>141</v>
      </c>
      <c r="D58" s="18" t="s">
        <v>146</v>
      </c>
      <c r="E58" s="22"/>
      <c r="F58" s="22">
        <v>12</v>
      </c>
      <c r="G58" s="22">
        <v>12</v>
      </c>
      <c r="H58" s="22">
        <v>1</v>
      </c>
      <c r="I58" s="22" t="s">
        <v>41</v>
      </c>
      <c r="J58" s="22"/>
      <c r="K58" s="22"/>
      <c r="L58" s="22"/>
    </row>
    <row r="59" spans="1:12" ht="14.25" customHeight="1" x14ac:dyDescent="0.3">
      <c r="A59" s="20">
        <v>4121</v>
      </c>
      <c r="B59" s="20" t="str">
        <f t="shared" si="1"/>
        <v>0x1019</v>
      </c>
      <c r="C59" s="20" t="s">
        <v>147</v>
      </c>
      <c r="D59" s="20" t="s">
        <v>148</v>
      </c>
      <c r="E59" s="21" t="s">
        <v>149</v>
      </c>
      <c r="F59" s="21">
        <v>3</v>
      </c>
      <c r="G59" s="21">
        <v>0</v>
      </c>
      <c r="H59" s="21">
        <v>4</v>
      </c>
      <c r="I59" s="21" t="s">
        <v>41</v>
      </c>
      <c r="J59" s="21"/>
      <c r="K59" s="21"/>
      <c r="L59" s="21"/>
    </row>
    <row r="60" spans="1:12" ht="14.25" customHeight="1" x14ac:dyDescent="0.3">
      <c r="A60" s="20">
        <v>4121</v>
      </c>
      <c r="B60" s="20" t="str">
        <f t="shared" si="1"/>
        <v>0x1019</v>
      </c>
      <c r="C60" s="20" t="s">
        <v>147</v>
      </c>
      <c r="D60" s="20" t="s">
        <v>150</v>
      </c>
      <c r="E60" s="21" t="s">
        <v>151</v>
      </c>
      <c r="F60" s="21">
        <v>11</v>
      </c>
      <c r="G60" s="21">
        <v>8</v>
      </c>
      <c r="H60" s="21">
        <v>4</v>
      </c>
      <c r="I60" s="21" t="s">
        <v>41</v>
      </c>
      <c r="J60" s="21"/>
      <c r="K60" s="21"/>
      <c r="L60" s="21"/>
    </row>
    <row r="61" spans="1:12" ht="14.25" customHeight="1" x14ac:dyDescent="0.3">
      <c r="A61" s="20">
        <v>4121</v>
      </c>
      <c r="B61" s="20" t="str">
        <f t="shared" si="1"/>
        <v>0x1019</v>
      </c>
      <c r="C61" s="20" t="s">
        <v>147</v>
      </c>
      <c r="D61" s="20" t="s">
        <v>152</v>
      </c>
      <c r="E61" s="21"/>
      <c r="F61" s="21">
        <v>12</v>
      </c>
      <c r="G61" s="21">
        <v>12</v>
      </c>
      <c r="H61" s="21">
        <v>1</v>
      </c>
      <c r="I61" s="21" t="s">
        <v>41</v>
      </c>
      <c r="J61" s="21"/>
      <c r="K61" s="21"/>
      <c r="L61" s="21"/>
    </row>
    <row r="62" spans="1:12" ht="14.25" customHeight="1" x14ac:dyDescent="0.3">
      <c r="A62" s="18">
        <v>4122</v>
      </c>
      <c r="B62" s="18" t="str">
        <f t="shared" si="1"/>
        <v>0x101A</v>
      </c>
      <c r="C62" s="18" t="s">
        <v>153</v>
      </c>
      <c r="D62" s="18" t="s">
        <v>154</v>
      </c>
      <c r="E62" s="22" t="s">
        <v>155</v>
      </c>
      <c r="F62" s="22">
        <v>3</v>
      </c>
      <c r="G62" s="22">
        <v>0</v>
      </c>
      <c r="H62" s="22">
        <v>4</v>
      </c>
      <c r="I62" s="22" t="s">
        <v>41</v>
      </c>
      <c r="J62" s="22"/>
      <c r="K62" s="22"/>
      <c r="L62" s="22"/>
    </row>
    <row r="63" spans="1:12" ht="14.25" customHeight="1" x14ac:dyDescent="0.3">
      <c r="A63" s="18">
        <v>4122</v>
      </c>
      <c r="B63" s="18" t="str">
        <f t="shared" si="1"/>
        <v>0x101A</v>
      </c>
      <c r="C63" s="18" t="s">
        <v>153</v>
      </c>
      <c r="D63" s="18" t="s">
        <v>156</v>
      </c>
      <c r="E63" s="22" t="s">
        <v>157</v>
      </c>
      <c r="F63" s="22">
        <v>11</v>
      </c>
      <c r="G63" s="22">
        <v>8</v>
      </c>
      <c r="H63" s="22">
        <v>4</v>
      </c>
      <c r="I63" s="22" t="s">
        <v>41</v>
      </c>
      <c r="J63" s="22"/>
      <c r="K63" s="22"/>
      <c r="L63" s="22"/>
    </row>
    <row r="64" spans="1:12" ht="14.25" customHeight="1" x14ac:dyDescent="0.3">
      <c r="A64" s="18">
        <v>4122</v>
      </c>
      <c r="B64" s="18" t="str">
        <f t="shared" si="1"/>
        <v>0x101A</v>
      </c>
      <c r="C64" s="18" t="s">
        <v>153</v>
      </c>
      <c r="D64" s="18" t="s">
        <v>158</v>
      </c>
      <c r="E64" s="22"/>
      <c r="F64" s="22">
        <v>12</v>
      </c>
      <c r="G64" s="22">
        <v>12</v>
      </c>
      <c r="H64" s="22">
        <v>1</v>
      </c>
      <c r="I64" s="22" t="s">
        <v>41</v>
      </c>
      <c r="J64" s="22"/>
      <c r="K64" s="22"/>
      <c r="L64" s="22"/>
    </row>
    <row r="65" spans="1:12" ht="14.25" customHeight="1" x14ac:dyDescent="0.3">
      <c r="A65" s="20">
        <v>4123</v>
      </c>
      <c r="B65" s="20" t="str">
        <f t="shared" si="1"/>
        <v>0x101B</v>
      </c>
      <c r="C65" s="20" t="s">
        <v>159</v>
      </c>
      <c r="D65" s="20" t="s">
        <v>160</v>
      </c>
      <c r="E65" s="21" t="s">
        <v>161</v>
      </c>
      <c r="F65" s="21">
        <v>3</v>
      </c>
      <c r="G65" s="21">
        <v>0</v>
      </c>
      <c r="H65" s="21">
        <v>4</v>
      </c>
      <c r="I65" s="21" t="s">
        <v>41</v>
      </c>
      <c r="J65" s="21"/>
      <c r="K65" s="21"/>
      <c r="L65" s="21"/>
    </row>
    <row r="66" spans="1:12" ht="14.25" customHeight="1" x14ac:dyDescent="0.3">
      <c r="A66" s="20">
        <v>4123</v>
      </c>
      <c r="B66" s="20" t="str">
        <f t="shared" si="1"/>
        <v>0x101B</v>
      </c>
      <c r="C66" s="20" t="s">
        <v>159</v>
      </c>
      <c r="D66" s="20" t="s">
        <v>162</v>
      </c>
      <c r="E66" s="21" t="s">
        <v>163</v>
      </c>
      <c r="F66" s="21">
        <v>11</v>
      </c>
      <c r="G66" s="21">
        <v>8</v>
      </c>
      <c r="H66" s="21">
        <v>4</v>
      </c>
      <c r="I66" s="21" t="s">
        <v>41</v>
      </c>
      <c r="J66" s="21"/>
      <c r="K66" s="21"/>
      <c r="L66" s="21"/>
    </row>
    <row r="67" spans="1:12" ht="14.25" customHeight="1" x14ac:dyDescent="0.3">
      <c r="A67" s="20">
        <v>4123</v>
      </c>
      <c r="B67" s="20" t="str">
        <f t="shared" si="1"/>
        <v>0x101B</v>
      </c>
      <c r="C67" s="20" t="s">
        <v>159</v>
      </c>
      <c r="D67" s="20" t="s">
        <v>164</v>
      </c>
      <c r="E67" s="21"/>
      <c r="F67" s="21">
        <v>12</v>
      </c>
      <c r="G67" s="21">
        <v>12</v>
      </c>
      <c r="H67" s="21">
        <v>1</v>
      </c>
      <c r="I67" s="21" t="s">
        <v>41</v>
      </c>
      <c r="J67" s="21"/>
      <c r="K67" s="21"/>
      <c r="L67" s="2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topLeftCell="A34" zoomScaleNormal="100" workbookViewId="0">
      <selection activeCell="A53" sqref="A53:H53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7" width="5" customWidth="1"/>
  </cols>
  <sheetData>
    <row r="1" spans="1:12" ht="14.25" customHeight="1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  <c r="F1" s="4"/>
      <c r="G1" s="4"/>
      <c r="H1" s="4"/>
      <c r="I1" s="4"/>
      <c r="J1" s="4"/>
      <c r="K1" s="4"/>
      <c r="L1" s="4"/>
    </row>
    <row r="2" spans="1:12" ht="14.25" customHeight="1" x14ac:dyDescent="0.3">
      <c r="A2" s="9" t="s">
        <v>9</v>
      </c>
      <c r="B2" s="4"/>
      <c r="C2" s="10">
        <f>Setup!B2</f>
        <v>46161</v>
      </c>
      <c r="D2" s="10" t="str">
        <f>Setup!C2</f>
        <v>PA3</v>
      </c>
      <c r="E2" s="5" t="s">
        <v>10</v>
      </c>
      <c r="F2" s="4"/>
      <c r="G2" s="4"/>
      <c r="H2" s="4"/>
      <c r="I2" s="4"/>
      <c r="J2" s="4"/>
      <c r="K2" s="4"/>
      <c r="L2" s="4"/>
    </row>
    <row r="3" spans="1:12" ht="14.25" customHeight="1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3" t="s">
        <v>21</v>
      </c>
      <c r="L3" s="13" t="s">
        <v>22</v>
      </c>
    </row>
    <row r="4" spans="1:12" ht="14.25" customHeight="1" x14ac:dyDescent="0.3">
      <c r="A4" s="14"/>
      <c r="B4" s="14"/>
      <c r="C4" s="14"/>
      <c r="D4" s="15"/>
      <c r="E4" s="16"/>
      <c r="F4" s="14"/>
      <c r="G4" s="14"/>
      <c r="H4" s="14"/>
      <c r="I4" s="17"/>
      <c r="J4" s="14"/>
      <c r="K4" s="14"/>
      <c r="L4" s="14"/>
    </row>
    <row r="5" spans="1:12" s="26" customFormat="1" x14ac:dyDescent="0.3">
      <c r="A5" s="24">
        <v>4116</v>
      </c>
      <c r="B5" s="19" t="str">
        <f t="shared" ref="B5:B16" si="0">_xlfn.CONCAT("0x",DEC2HEX(A5,4))</f>
        <v>0x1014</v>
      </c>
      <c r="C5" s="24" t="s">
        <v>165</v>
      </c>
      <c r="D5" s="24" t="s">
        <v>166</v>
      </c>
      <c r="E5" s="24" t="s">
        <v>167</v>
      </c>
      <c r="F5" s="24">
        <v>2</v>
      </c>
      <c r="G5" s="24">
        <v>0</v>
      </c>
      <c r="H5" s="24">
        <v>3</v>
      </c>
      <c r="I5" s="24" t="s">
        <v>41</v>
      </c>
      <c r="J5" s="24"/>
      <c r="K5" s="24"/>
      <c r="L5" s="24"/>
    </row>
    <row r="6" spans="1:12" s="26" customFormat="1" x14ac:dyDescent="0.3">
      <c r="A6" s="24">
        <v>4116</v>
      </c>
      <c r="B6" s="19" t="str">
        <f t="shared" si="0"/>
        <v>0x1014</v>
      </c>
      <c r="C6" s="24" t="s">
        <v>165</v>
      </c>
      <c r="D6" s="24" t="s">
        <v>168</v>
      </c>
      <c r="E6" s="24" t="s">
        <v>169</v>
      </c>
      <c r="F6" s="24">
        <v>5</v>
      </c>
      <c r="G6" s="24">
        <v>3</v>
      </c>
      <c r="H6" s="24">
        <v>3</v>
      </c>
      <c r="I6" s="24" t="s">
        <v>41</v>
      </c>
      <c r="J6" s="24"/>
      <c r="K6" s="24"/>
      <c r="L6" s="24"/>
    </row>
    <row r="7" spans="1:12" s="26" customFormat="1" x14ac:dyDescent="0.3">
      <c r="A7" s="24">
        <v>4116</v>
      </c>
      <c r="B7" s="19" t="str">
        <f t="shared" si="0"/>
        <v>0x1014</v>
      </c>
      <c r="C7" s="24" t="s">
        <v>165</v>
      </c>
      <c r="D7" s="24" t="s">
        <v>170</v>
      </c>
      <c r="E7" s="24"/>
      <c r="F7" s="24">
        <v>9</v>
      </c>
      <c r="G7" s="24">
        <v>9</v>
      </c>
      <c r="H7" s="24">
        <v>1</v>
      </c>
      <c r="I7" s="24" t="s">
        <v>41</v>
      </c>
      <c r="J7" s="24"/>
      <c r="K7" s="24"/>
      <c r="L7" s="24"/>
    </row>
    <row r="8" spans="1:12" s="26" customFormat="1" x14ac:dyDescent="0.3">
      <c r="A8" s="25">
        <v>4117</v>
      </c>
      <c r="B8" s="23" t="str">
        <f t="shared" si="0"/>
        <v>0x1015</v>
      </c>
      <c r="C8" s="25" t="s">
        <v>171</v>
      </c>
      <c r="D8" s="25" t="s">
        <v>172</v>
      </c>
      <c r="E8" s="25" t="s">
        <v>167</v>
      </c>
      <c r="F8" s="25">
        <v>2</v>
      </c>
      <c r="G8" s="25">
        <v>0</v>
      </c>
      <c r="H8" s="25">
        <v>3</v>
      </c>
      <c r="I8" s="25" t="s">
        <v>41</v>
      </c>
      <c r="J8" s="25"/>
      <c r="K8" s="25"/>
      <c r="L8" s="25"/>
    </row>
    <row r="9" spans="1:12" s="26" customFormat="1" x14ac:dyDescent="0.3">
      <c r="A9" s="25">
        <v>4117</v>
      </c>
      <c r="B9" s="23" t="str">
        <f t="shared" si="0"/>
        <v>0x1015</v>
      </c>
      <c r="C9" s="25" t="s">
        <v>171</v>
      </c>
      <c r="D9" s="25" t="s">
        <v>173</v>
      </c>
      <c r="E9" s="25" t="s">
        <v>169</v>
      </c>
      <c r="F9" s="25">
        <v>5</v>
      </c>
      <c r="G9" s="25">
        <v>3</v>
      </c>
      <c r="H9" s="25">
        <v>3</v>
      </c>
      <c r="I9" s="25" t="s">
        <v>41</v>
      </c>
      <c r="J9" s="25"/>
      <c r="K9" s="25"/>
      <c r="L9" s="25"/>
    </row>
    <row r="10" spans="1:12" s="26" customFormat="1" x14ac:dyDescent="0.3">
      <c r="A10" s="25">
        <v>4117</v>
      </c>
      <c r="B10" s="23" t="str">
        <f t="shared" si="0"/>
        <v>0x1015</v>
      </c>
      <c r="C10" s="25" t="s">
        <v>171</v>
      </c>
      <c r="D10" s="25" t="s">
        <v>174</v>
      </c>
      <c r="E10" s="25"/>
      <c r="F10" s="25">
        <v>9</v>
      </c>
      <c r="G10" s="25">
        <v>9</v>
      </c>
      <c r="H10" s="25">
        <v>1</v>
      </c>
      <c r="I10" s="25" t="s">
        <v>41</v>
      </c>
      <c r="J10" s="25"/>
      <c r="K10" s="25"/>
      <c r="L10" s="25"/>
    </row>
    <row r="11" spans="1:12" s="26" customFormat="1" x14ac:dyDescent="0.3">
      <c r="A11" s="24">
        <v>4118</v>
      </c>
      <c r="B11" s="19" t="str">
        <f t="shared" si="0"/>
        <v>0x1016</v>
      </c>
      <c r="C11" s="24" t="s">
        <v>175</v>
      </c>
      <c r="D11" s="24" t="s">
        <v>176</v>
      </c>
      <c r="E11" s="24" t="s">
        <v>167</v>
      </c>
      <c r="F11" s="24">
        <v>2</v>
      </c>
      <c r="G11" s="24">
        <v>0</v>
      </c>
      <c r="H11" s="24">
        <v>3</v>
      </c>
      <c r="I11" s="24" t="s">
        <v>41</v>
      </c>
      <c r="J11" s="24"/>
      <c r="K11" s="24"/>
      <c r="L11" s="24"/>
    </row>
    <row r="12" spans="1:12" s="26" customFormat="1" x14ac:dyDescent="0.3">
      <c r="A12" s="24">
        <v>4118</v>
      </c>
      <c r="B12" s="19" t="str">
        <f t="shared" si="0"/>
        <v>0x1016</v>
      </c>
      <c r="C12" s="24" t="s">
        <v>175</v>
      </c>
      <c r="D12" s="24" t="s">
        <v>177</v>
      </c>
      <c r="E12" s="24" t="s">
        <v>169</v>
      </c>
      <c r="F12" s="24">
        <v>5</v>
      </c>
      <c r="G12" s="24">
        <v>3</v>
      </c>
      <c r="H12" s="24">
        <v>3</v>
      </c>
      <c r="I12" s="24" t="s">
        <v>41</v>
      </c>
      <c r="J12" s="24"/>
      <c r="K12" s="24"/>
      <c r="L12" s="24"/>
    </row>
    <row r="13" spans="1:12" s="26" customFormat="1" x14ac:dyDescent="0.3">
      <c r="A13" s="24">
        <v>4118</v>
      </c>
      <c r="B13" s="19" t="str">
        <f t="shared" si="0"/>
        <v>0x1016</v>
      </c>
      <c r="C13" s="24" t="s">
        <v>175</v>
      </c>
      <c r="D13" s="24" t="s">
        <v>178</v>
      </c>
      <c r="E13" s="24"/>
      <c r="F13" s="24">
        <v>9</v>
      </c>
      <c r="G13" s="24">
        <v>9</v>
      </c>
      <c r="H13" s="24">
        <v>1</v>
      </c>
      <c r="I13" s="24" t="s">
        <v>41</v>
      </c>
      <c r="J13" s="24"/>
      <c r="K13" s="24"/>
      <c r="L13" s="24"/>
    </row>
    <row r="14" spans="1:12" s="26" customFormat="1" x14ac:dyDescent="0.3">
      <c r="A14" s="25">
        <v>4119</v>
      </c>
      <c r="B14" s="23" t="str">
        <f t="shared" si="0"/>
        <v>0x1017</v>
      </c>
      <c r="C14" s="25" t="s">
        <v>179</v>
      </c>
      <c r="D14" s="25" t="s">
        <v>180</v>
      </c>
      <c r="E14" s="25" t="s">
        <v>167</v>
      </c>
      <c r="F14" s="25">
        <v>2</v>
      </c>
      <c r="G14" s="25">
        <v>0</v>
      </c>
      <c r="H14" s="25">
        <v>3</v>
      </c>
      <c r="I14" s="25" t="s">
        <v>41</v>
      </c>
      <c r="J14" s="25"/>
      <c r="K14" s="25"/>
      <c r="L14" s="25"/>
    </row>
    <row r="15" spans="1:12" s="26" customFormat="1" x14ac:dyDescent="0.3">
      <c r="A15" s="25">
        <v>4119</v>
      </c>
      <c r="B15" s="23" t="str">
        <f t="shared" si="0"/>
        <v>0x1017</v>
      </c>
      <c r="C15" s="25" t="s">
        <v>179</v>
      </c>
      <c r="D15" s="25" t="s">
        <v>181</v>
      </c>
      <c r="E15" s="25" t="s">
        <v>169</v>
      </c>
      <c r="F15" s="25">
        <v>5</v>
      </c>
      <c r="G15" s="25">
        <v>3</v>
      </c>
      <c r="H15" s="25">
        <v>3</v>
      </c>
      <c r="I15" s="25" t="s">
        <v>41</v>
      </c>
      <c r="J15" s="25"/>
      <c r="K15" s="25"/>
      <c r="L15" s="25"/>
    </row>
    <row r="16" spans="1:12" s="26" customFormat="1" x14ac:dyDescent="0.3">
      <c r="A16" s="25">
        <v>4119</v>
      </c>
      <c r="B16" s="23" t="str">
        <f t="shared" si="0"/>
        <v>0x1017</v>
      </c>
      <c r="C16" s="25" t="s">
        <v>179</v>
      </c>
      <c r="D16" s="25" t="s">
        <v>182</v>
      </c>
      <c r="E16" s="25"/>
      <c r="F16" s="25">
        <v>9</v>
      </c>
      <c r="G16" s="25">
        <v>9</v>
      </c>
      <c r="H16" s="25">
        <v>1</v>
      </c>
      <c r="I16" s="25" t="s">
        <v>41</v>
      </c>
      <c r="J16" s="25"/>
      <c r="K16" s="25"/>
      <c r="L16" s="25"/>
    </row>
    <row r="17" spans="1:12" s="26" customFormat="1" ht="28.8" x14ac:dyDescent="0.3">
      <c r="A17" s="29">
        <v>4168</v>
      </c>
      <c r="B17" s="29" t="str">
        <f t="shared" ref="B17:B56" si="1">_xlfn.CONCAT("0x",DEC2HEX(A17,4))</f>
        <v>0x1048</v>
      </c>
      <c r="C17" s="29" t="s">
        <v>183</v>
      </c>
      <c r="D17" s="29" t="s">
        <v>184</v>
      </c>
      <c r="E17" s="29" t="s">
        <v>185</v>
      </c>
      <c r="F17" s="29">
        <v>2</v>
      </c>
      <c r="G17" s="29">
        <v>0</v>
      </c>
      <c r="H17" s="29">
        <v>3</v>
      </c>
      <c r="I17" s="29" t="s">
        <v>41</v>
      </c>
      <c r="J17" s="29"/>
      <c r="K17" s="29"/>
      <c r="L17" s="29"/>
    </row>
    <row r="18" spans="1:12" s="26" customFormat="1" ht="28.8" x14ac:dyDescent="0.3">
      <c r="A18" s="29">
        <v>4168</v>
      </c>
      <c r="B18" s="29" t="str">
        <f t="shared" si="1"/>
        <v>0x1048</v>
      </c>
      <c r="C18" s="29" t="s">
        <v>183</v>
      </c>
      <c r="D18" s="29" t="s">
        <v>186</v>
      </c>
      <c r="E18" s="29" t="s">
        <v>187</v>
      </c>
      <c r="F18" s="29">
        <v>10</v>
      </c>
      <c r="G18" s="29">
        <v>8</v>
      </c>
      <c r="H18" s="29">
        <v>3</v>
      </c>
      <c r="I18" s="29" t="s">
        <v>41</v>
      </c>
      <c r="J18" s="29"/>
      <c r="K18" s="29"/>
      <c r="L18" s="29"/>
    </row>
    <row r="19" spans="1:12" s="26" customFormat="1" ht="28.8" x14ac:dyDescent="0.3">
      <c r="A19" s="30">
        <v>4169</v>
      </c>
      <c r="B19" s="30" t="str">
        <f t="shared" si="1"/>
        <v>0x1049</v>
      </c>
      <c r="C19" s="30" t="s">
        <v>188</v>
      </c>
      <c r="D19" s="30" t="s">
        <v>189</v>
      </c>
      <c r="E19" s="30" t="s">
        <v>190</v>
      </c>
      <c r="F19" s="30">
        <v>2</v>
      </c>
      <c r="G19" s="30">
        <v>0</v>
      </c>
      <c r="H19" s="30">
        <v>3</v>
      </c>
      <c r="I19" s="30" t="s">
        <v>41</v>
      </c>
      <c r="J19" s="30"/>
      <c r="K19" s="30"/>
      <c r="L19" s="30"/>
    </row>
    <row r="20" spans="1:12" s="26" customFormat="1" ht="28.8" x14ac:dyDescent="0.3">
      <c r="A20" s="30">
        <v>4169</v>
      </c>
      <c r="B20" s="30" t="str">
        <f t="shared" si="1"/>
        <v>0x1049</v>
      </c>
      <c r="C20" s="30" t="s">
        <v>188</v>
      </c>
      <c r="D20" s="30" t="s">
        <v>191</v>
      </c>
      <c r="E20" s="30" t="s">
        <v>192</v>
      </c>
      <c r="F20" s="30">
        <v>10</v>
      </c>
      <c r="G20" s="30">
        <v>8</v>
      </c>
      <c r="H20" s="30">
        <v>3</v>
      </c>
      <c r="I20" s="30" t="s">
        <v>41</v>
      </c>
      <c r="J20" s="30"/>
      <c r="K20" s="30"/>
      <c r="L20" s="30"/>
    </row>
    <row r="21" spans="1:12" s="26" customFormat="1" ht="28.8" x14ac:dyDescent="0.3">
      <c r="A21" s="29">
        <v>4170</v>
      </c>
      <c r="B21" s="29" t="str">
        <f t="shared" si="1"/>
        <v>0x104A</v>
      </c>
      <c r="C21" s="29" t="s">
        <v>193</v>
      </c>
      <c r="D21" s="29" t="s">
        <v>194</v>
      </c>
      <c r="E21" s="29" t="s">
        <v>195</v>
      </c>
      <c r="F21" s="29">
        <v>2</v>
      </c>
      <c r="G21" s="29">
        <v>0</v>
      </c>
      <c r="H21" s="29">
        <v>3</v>
      </c>
      <c r="I21" s="29" t="s">
        <v>41</v>
      </c>
      <c r="J21" s="29"/>
      <c r="K21" s="29"/>
      <c r="L21" s="29"/>
    </row>
    <row r="22" spans="1:12" s="26" customFormat="1" ht="28.8" x14ac:dyDescent="0.3">
      <c r="A22" s="29">
        <v>4170</v>
      </c>
      <c r="B22" s="29" t="str">
        <f t="shared" si="1"/>
        <v>0x104A</v>
      </c>
      <c r="C22" s="29" t="s">
        <v>193</v>
      </c>
      <c r="D22" s="29" t="s">
        <v>196</v>
      </c>
      <c r="E22" s="29" t="s">
        <v>197</v>
      </c>
      <c r="F22" s="29">
        <v>10</v>
      </c>
      <c r="G22" s="29">
        <v>8</v>
      </c>
      <c r="H22" s="29">
        <v>3</v>
      </c>
      <c r="I22" s="29" t="s">
        <v>41</v>
      </c>
      <c r="J22" s="29"/>
      <c r="K22" s="29"/>
      <c r="L22" s="29"/>
    </row>
    <row r="23" spans="1:12" s="26" customFormat="1" ht="28.8" x14ac:dyDescent="0.3">
      <c r="A23" s="30">
        <v>4171</v>
      </c>
      <c r="B23" s="30" t="str">
        <f t="shared" si="1"/>
        <v>0x104B</v>
      </c>
      <c r="C23" s="30" t="s">
        <v>198</v>
      </c>
      <c r="D23" s="30" t="s">
        <v>199</v>
      </c>
      <c r="E23" s="30" t="s">
        <v>200</v>
      </c>
      <c r="F23" s="30">
        <v>2</v>
      </c>
      <c r="G23" s="30">
        <v>0</v>
      </c>
      <c r="H23" s="30">
        <v>3</v>
      </c>
      <c r="I23" s="30" t="s">
        <v>41</v>
      </c>
      <c r="J23" s="30"/>
      <c r="K23" s="30"/>
      <c r="L23" s="30"/>
    </row>
    <row r="24" spans="1:12" s="26" customFormat="1" ht="28.8" x14ac:dyDescent="0.3">
      <c r="A24" s="30">
        <v>4171</v>
      </c>
      <c r="B24" s="30" t="str">
        <f t="shared" si="1"/>
        <v>0x104B</v>
      </c>
      <c r="C24" s="30" t="s">
        <v>198</v>
      </c>
      <c r="D24" s="30" t="s">
        <v>201</v>
      </c>
      <c r="E24" s="30" t="s">
        <v>202</v>
      </c>
      <c r="F24" s="30">
        <v>10</v>
      </c>
      <c r="G24" s="30">
        <v>8</v>
      </c>
      <c r="H24" s="30">
        <v>3</v>
      </c>
      <c r="I24" s="30" t="s">
        <v>41</v>
      </c>
      <c r="J24" s="30"/>
      <c r="K24" s="30"/>
      <c r="L24" s="30"/>
    </row>
    <row r="25" spans="1:12" s="26" customFormat="1" ht="28.8" x14ac:dyDescent="0.3">
      <c r="A25" s="29">
        <v>4188</v>
      </c>
      <c r="B25" s="29" t="str">
        <f t="shared" si="1"/>
        <v>0x105C</v>
      </c>
      <c r="C25" s="29" t="s">
        <v>203</v>
      </c>
      <c r="D25" s="29" t="s">
        <v>204</v>
      </c>
      <c r="E25" s="29" t="s">
        <v>205</v>
      </c>
      <c r="F25" s="29">
        <v>3</v>
      </c>
      <c r="G25" s="29">
        <v>0</v>
      </c>
      <c r="H25" s="29">
        <v>4</v>
      </c>
      <c r="I25" s="29" t="s">
        <v>41</v>
      </c>
      <c r="J25" s="29"/>
      <c r="K25" s="29"/>
      <c r="L25" s="29"/>
    </row>
    <row r="26" spans="1:12" s="26" customFormat="1" ht="28.8" x14ac:dyDescent="0.3">
      <c r="A26" s="29">
        <v>4188</v>
      </c>
      <c r="B26" s="29" t="str">
        <f t="shared" si="1"/>
        <v>0x105C</v>
      </c>
      <c r="C26" s="29" t="s">
        <v>203</v>
      </c>
      <c r="D26" s="29" t="s">
        <v>206</v>
      </c>
      <c r="E26" s="29" t="s">
        <v>207</v>
      </c>
      <c r="F26" s="29">
        <v>11</v>
      </c>
      <c r="G26" s="29">
        <v>8</v>
      </c>
      <c r="H26" s="29">
        <v>4</v>
      </c>
      <c r="I26" s="29" t="s">
        <v>41</v>
      </c>
      <c r="J26" s="29"/>
      <c r="K26" s="29"/>
      <c r="L26" s="29"/>
    </row>
    <row r="27" spans="1:12" s="26" customFormat="1" ht="28.8" x14ac:dyDescent="0.3">
      <c r="A27" s="30">
        <v>4189</v>
      </c>
      <c r="B27" s="30" t="str">
        <f t="shared" si="1"/>
        <v>0x105D</v>
      </c>
      <c r="C27" s="30" t="s">
        <v>208</v>
      </c>
      <c r="D27" s="30" t="s">
        <v>209</v>
      </c>
      <c r="E27" s="30" t="s">
        <v>210</v>
      </c>
      <c r="F27" s="30">
        <v>3</v>
      </c>
      <c r="G27" s="30">
        <v>0</v>
      </c>
      <c r="H27" s="30">
        <v>4</v>
      </c>
      <c r="I27" s="30" t="s">
        <v>41</v>
      </c>
      <c r="J27" s="30"/>
      <c r="K27" s="30"/>
      <c r="L27" s="30"/>
    </row>
    <row r="28" spans="1:12" s="26" customFormat="1" ht="28.8" x14ac:dyDescent="0.3">
      <c r="A28" s="30">
        <v>4189</v>
      </c>
      <c r="B28" s="30" t="str">
        <f t="shared" si="1"/>
        <v>0x105D</v>
      </c>
      <c r="C28" s="30" t="s">
        <v>208</v>
      </c>
      <c r="D28" s="30" t="s">
        <v>211</v>
      </c>
      <c r="E28" s="30" t="s">
        <v>212</v>
      </c>
      <c r="F28" s="30">
        <v>11</v>
      </c>
      <c r="G28" s="30">
        <v>8</v>
      </c>
      <c r="H28" s="30">
        <v>4</v>
      </c>
      <c r="I28" s="30" t="s">
        <v>41</v>
      </c>
      <c r="J28" s="30"/>
      <c r="K28" s="30"/>
      <c r="L28" s="30"/>
    </row>
    <row r="29" spans="1:12" s="26" customFormat="1" ht="28.8" x14ac:dyDescent="0.3">
      <c r="A29" s="29">
        <v>4190</v>
      </c>
      <c r="B29" s="29" t="str">
        <f t="shared" si="1"/>
        <v>0x105E</v>
      </c>
      <c r="C29" s="29" t="s">
        <v>213</v>
      </c>
      <c r="D29" s="29" t="s">
        <v>214</v>
      </c>
      <c r="E29" s="29" t="s">
        <v>215</v>
      </c>
      <c r="F29" s="29">
        <v>3</v>
      </c>
      <c r="G29" s="29">
        <v>0</v>
      </c>
      <c r="H29" s="29">
        <v>4</v>
      </c>
      <c r="I29" s="29" t="s">
        <v>41</v>
      </c>
      <c r="J29" s="29"/>
      <c r="K29" s="29"/>
      <c r="L29" s="29"/>
    </row>
    <row r="30" spans="1:12" s="26" customFormat="1" ht="28.8" x14ac:dyDescent="0.3">
      <c r="A30" s="29">
        <v>4190</v>
      </c>
      <c r="B30" s="29" t="str">
        <f t="shared" si="1"/>
        <v>0x105E</v>
      </c>
      <c r="C30" s="29" t="s">
        <v>213</v>
      </c>
      <c r="D30" s="29" t="s">
        <v>216</v>
      </c>
      <c r="E30" s="29" t="s">
        <v>217</v>
      </c>
      <c r="F30" s="29">
        <v>11</v>
      </c>
      <c r="G30" s="29">
        <v>8</v>
      </c>
      <c r="H30" s="29">
        <v>4</v>
      </c>
      <c r="I30" s="29" t="s">
        <v>41</v>
      </c>
      <c r="J30" s="29"/>
      <c r="K30" s="29"/>
      <c r="L30" s="29"/>
    </row>
    <row r="31" spans="1:12" s="26" customFormat="1" ht="28.8" x14ac:dyDescent="0.3">
      <c r="A31" s="30">
        <v>4191</v>
      </c>
      <c r="B31" s="30" t="str">
        <f t="shared" si="1"/>
        <v>0x105F</v>
      </c>
      <c r="C31" s="30" t="s">
        <v>218</v>
      </c>
      <c r="D31" s="30" t="s">
        <v>219</v>
      </c>
      <c r="E31" s="30" t="s">
        <v>220</v>
      </c>
      <c r="F31" s="30">
        <v>3</v>
      </c>
      <c r="G31" s="30">
        <v>0</v>
      </c>
      <c r="H31" s="30">
        <v>4</v>
      </c>
      <c r="I31" s="30" t="s">
        <v>41</v>
      </c>
      <c r="J31" s="30"/>
      <c r="K31" s="30"/>
      <c r="L31" s="30"/>
    </row>
    <row r="32" spans="1:12" s="26" customFormat="1" ht="28.8" x14ac:dyDescent="0.3">
      <c r="A32" s="30">
        <v>4191</v>
      </c>
      <c r="B32" s="30" t="str">
        <f t="shared" si="1"/>
        <v>0x105F</v>
      </c>
      <c r="C32" s="30" t="s">
        <v>218</v>
      </c>
      <c r="D32" s="30" t="s">
        <v>221</v>
      </c>
      <c r="E32" s="30" t="s">
        <v>222</v>
      </c>
      <c r="F32" s="30">
        <v>11</v>
      </c>
      <c r="G32" s="30">
        <v>8</v>
      </c>
      <c r="H32" s="30">
        <v>4</v>
      </c>
      <c r="I32" s="30" t="s">
        <v>41</v>
      </c>
      <c r="J32" s="30"/>
      <c r="K32" s="30"/>
      <c r="L32" s="30"/>
    </row>
    <row r="33" spans="1:12" s="26" customFormat="1" ht="28.8" x14ac:dyDescent="0.3">
      <c r="A33" s="29">
        <v>4192</v>
      </c>
      <c r="B33" s="29" t="str">
        <f t="shared" si="1"/>
        <v>0x1060</v>
      </c>
      <c r="C33" s="29" t="s">
        <v>223</v>
      </c>
      <c r="D33" s="29" t="s">
        <v>224</v>
      </c>
      <c r="E33" s="29" t="s">
        <v>225</v>
      </c>
      <c r="F33" s="29">
        <v>11</v>
      </c>
      <c r="G33" s="29">
        <v>8</v>
      </c>
      <c r="H33" s="29">
        <v>4</v>
      </c>
      <c r="I33" s="29" t="s">
        <v>41</v>
      </c>
      <c r="J33" s="29"/>
      <c r="K33" s="29"/>
      <c r="L33" s="29"/>
    </row>
    <row r="34" spans="1:12" s="26" customFormat="1" ht="28.8" x14ac:dyDescent="0.3">
      <c r="A34" s="30">
        <v>4193</v>
      </c>
      <c r="B34" s="30" t="str">
        <f t="shared" si="1"/>
        <v>0x1061</v>
      </c>
      <c r="C34" s="30" t="s">
        <v>226</v>
      </c>
      <c r="D34" s="30" t="s">
        <v>227</v>
      </c>
      <c r="E34" s="30" t="s">
        <v>228</v>
      </c>
      <c r="F34" s="30">
        <v>11</v>
      </c>
      <c r="G34" s="30">
        <v>8</v>
      </c>
      <c r="H34" s="30">
        <v>4</v>
      </c>
      <c r="I34" s="30" t="s">
        <v>41</v>
      </c>
      <c r="J34" s="30"/>
      <c r="K34" s="30"/>
      <c r="L34" s="30"/>
    </row>
    <row r="35" spans="1:12" s="26" customFormat="1" ht="28.8" x14ac:dyDescent="0.3">
      <c r="A35" s="29">
        <v>4194</v>
      </c>
      <c r="B35" s="29" t="str">
        <f t="shared" si="1"/>
        <v>0x1062</v>
      </c>
      <c r="C35" s="29" t="s">
        <v>229</v>
      </c>
      <c r="D35" s="29" t="s">
        <v>230</v>
      </c>
      <c r="E35" s="29" t="s">
        <v>231</v>
      </c>
      <c r="F35" s="29">
        <v>11</v>
      </c>
      <c r="G35" s="29">
        <v>8</v>
      </c>
      <c r="H35" s="29">
        <v>4</v>
      </c>
      <c r="I35" s="29" t="s">
        <v>41</v>
      </c>
      <c r="J35" s="29"/>
      <c r="K35" s="29"/>
      <c r="L35" s="29"/>
    </row>
    <row r="36" spans="1:12" s="26" customFormat="1" ht="28.8" x14ac:dyDescent="0.3">
      <c r="A36" s="30">
        <v>4195</v>
      </c>
      <c r="B36" s="30" t="str">
        <f t="shared" si="1"/>
        <v>0x1063</v>
      </c>
      <c r="C36" s="30" t="s">
        <v>232</v>
      </c>
      <c r="D36" s="30" t="s">
        <v>233</v>
      </c>
      <c r="E36" s="30" t="s">
        <v>234</v>
      </c>
      <c r="F36" s="30">
        <v>11</v>
      </c>
      <c r="G36" s="30">
        <v>8</v>
      </c>
      <c r="H36" s="30">
        <v>4</v>
      </c>
      <c r="I36" s="30" t="s">
        <v>41</v>
      </c>
      <c r="J36" s="30"/>
      <c r="K36" s="30"/>
      <c r="L36" s="30"/>
    </row>
    <row r="37" spans="1:12" s="26" customFormat="1" ht="28.8" x14ac:dyDescent="0.3">
      <c r="A37" s="29">
        <v>4196</v>
      </c>
      <c r="B37" s="29" t="str">
        <f t="shared" si="1"/>
        <v>0x1064</v>
      </c>
      <c r="C37" s="29" t="s">
        <v>235</v>
      </c>
      <c r="D37" s="29" t="s">
        <v>235</v>
      </c>
      <c r="E37" s="29" t="s">
        <v>236</v>
      </c>
      <c r="F37" s="29">
        <v>3</v>
      </c>
      <c r="G37" s="29">
        <v>0</v>
      </c>
      <c r="H37" s="29">
        <v>4</v>
      </c>
      <c r="I37" s="29" t="s">
        <v>41</v>
      </c>
      <c r="J37" s="29"/>
      <c r="K37" s="29"/>
      <c r="L37" s="29"/>
    </row>
    <row r="38" spans="1:12" s="26" customFormat="1" ht="28.8" x14ac:dyDescent="0.3">
      <c r="A38" s="30">
        <v>4197</v>
      </c>
      <c r="B38" s="30" t="str">
        <f t="shared" si="1"/>
        <v>0x1065</v>
      </c>
      <c r="C38" s="30" t="s">
        <v>237</v>
      </c>
      <c r="D38" s="30" t="s">
        <v>237</v>
      </c>
      <c r="E38" s="30" t="s">
        <v>238</v>
      </c>
      <c r="F38" s="30">
        <v>3</v>
      </c>
      <c r="G38" s="30">
        <v>0</v>
      </c>
      <c r="H38" s="30">
        <v>4</v>
      </c>
      <c r="I38" s="30" t="s">
        <v>41</v>
      </c>
      <c r="J38" s="30"/>
      <c r="K38" s="30"/>
      <c r="L38" s="30"/>
    </row>
    <row r="39" spans="1:12" s="26" customFormat="1" ht="28.8" x14ac:dyDescent="0.3">
      <c r="A39" s="29">
        <v>4198</v>
      </c>
      <c r="B39" s="29" t="str">
        <f t="shared" si="1"/>
        <v>0x1066</v>
      </c>
      <c r="C39" s="29" t="s">
        <v>239</v>
      </c>
      <c r="D39" s="29" t="s">
        <v>239</v>
      </c>
      <c r="E39" s="29" t="s">
        <v>240</v>
      </c>
      <c r="F39" s="29">
        <v>3</v>
      </c>
      <c r="G39" s="29">
        <v>0</v>
      </c>
      <c r="H39" s="29">
        <v>4</v>
      </c>
      <c r="I39" s="29" t="s">
        <v>41</v>
      </c>
      <c r="J39" s="29"/>
      <c r="K39" s="29"/>
      <c r="L39" s="29"/>
    </row>
    <row r="40" spans="1:12" s="26" customFormat="1" ht="28.8" x14ac:dyDescent="0.3">
      <c r="A40" s="30">
        <v>4199</v>
      </c>
      <c r="B40" s="30" t="str">
        <f t="shared" si="1"/>
        <v>0x1067</v>
      </c>
      <c r="C40" s="30" t="s">
        <v>241</v>
      </c>
      <c r="D40" s="30" t="s">
        <v>241</v>
      </c>
      <c r="E40" s="30" t="s">
        <v>242</v>
      </c>
      <c r="F40" s="30">
        <v>3</v>
      </c>
      <c r="G40" s="30">
        <v>0</v>
      </c>
      <c r="H40" s="30">
        <v>4</v>
      </c>
      <c r="I40" s="30" t="s">
        <v>41</v>
      </c>
      <c r="J40" s="30"/>
      <c r="K40" s="30"/>
      <c r="L40" s="30"/>
    </row>
    <row r="41" spans="1:12" s="26" customFormat="1" x14ac:dyDescent="0.3">
      <c r="A41" s="29">
        <v>4200</v>
      </c>
      <c r="B41" s="29" t="str">
        <f t="shared" si="1"/>
        <v>0x1068</v>
      </c>
      <c r="C41" s="29" t="s">
        <v>243</v>
      </c>
      <c r="D41" s="29" t="s">
        <v>244</v>
      </c>
      <c r="E41" s="29" t="s">
        <v>245</v>
      </c>
      <c r="F41" s="29">
        <v>2</v>
      </c>
      <c r="G41" s="29">
        <v>0</v>
      </c>
      <c r="H41" s="29">
        <v>3</v>
      </c>
      <c r="I41" s="29" t="s">
        <v>41</v>
      </c>
      <c r="J41" s="29"/>
      <c r="K41" s="29"/>
      <c r="L41" s="29"/>
    </row>
    <row r="42" spans="1:12" s="26" customFormat="1" x14ac:dyDescent="0.3">
      <c r="A42" s="29">
        <v>4200</v>
      </c>
      <c r="B42" s="29" t="str">
        <f t="shared" si="1"/>
        <v>0x1068</v>
      </c>
      <c r="C42" s="29" t="s">
        <v>243</v>
      </c>
      <c r="D42" s="29" t="s">
        <v>246</v>
      </c>
      <c r="E42" s="29" t="s">
        <v>247</v>
      </c>
      <c r="F42" s="29">
        <v>4</v>
      </c>
      <c r="G42" s="29">
        <v>3</v>
      </c>
      <c r="H42" s="29">
        <v>2</v>
      </c>
      <c r="I42" s="29" t="s">
        <v>41</v>
      </c>
      <c r="J42" s="29"/>
      <c r="K42" s="29"/>
      <c r="L42" s="29"/>
    </row>
    <row r="43" spans="1:12" s="26" customFormat="1" x14ac:dyDescent="0.3">
      <c r="A43" s="29">
        <v>4200</v>
      </c>
      <c r="B43" s="29" t="str">
        <f t="shared" si="1"/>
        <v>0x1068</v>
      </c>
      <c r="C43" s="29" t="s">
        <v>243</v>
      </c>
      <c r="D43" s="29" t="s">
        <v>248</v>
      </c>
      <c r="E43" s="29" t="s">
        <v>249</v>
      </c>
      <c r="F43" s="29">
        <v>10</v>
      </c>
      <c r="G43" s="29">
        <v>8</v>
      </c>
      <c r="H43" s="29">
        <v>3</v>
      </c>
      <c r="I43" s="29" t="s">
        <v>41</v>
      </c>
      <c r="J43" s="29"/>
      <c r="K43" s="29"/>
      <c r="L43" s="29"/>
    </row>
    <row r="44" spans="1:12" s="26" customFormat="1" x14ac:dyDescent="0.3">
      <c r="A44" s="29">
        <v>4200</v>
      </c>
      <c r="B44" s="29" t="str">
        <f t="shared" si="1"/>
        <v>0x1068</v>
      </c>
      <c r="C44" s="29" t="s">
        <v>243</v>
      </c>
      <c r="D44" s="29" t="s">
        <v>250</v>
      </c>
      <c r="E44" s="29" t="s">
        <v>251</v>
      </c>
      <c r="F44" s="29">
        <v>12</v>
      </c>
      <c r="G44" s="29">
        <v>11</v>
      </c>
      <c r="H44" s="29">
        <v>2</v>
      </c>
      <c r="I44" s="29" t="s">
        <v>41</v>
      </c>
      <c r="J44" s="29"/>
      <c r="K44" s="29"/>
      <c r="L44" s="29"/>
    </row>
    <row r="45" spans="1:12" s="26" customFormat="1" x14ac:dyDescent="0.3">
      <c r="A45" s="30">
        <v>4201</v>
      </c>
      <c r="B45" s="30" t="str">
        <f t="shared" si="1"/>
        <v>0x1069</v>
      </c>
      <c r="C45" s="30" t="s">
        <v>252</v>
      </c>
      <c r="D45" s="30" t="s">
        <v>253</v>
      </c>
      <c r="E45" s="30" t="s">
        <v>254</v>
      </c>
      <c r="F45" s="30">
        <v>2</v>
      </c>
      <c r="G45" s="30">
        <v>0</v>
      </c>
      <c r="H45" s="30">
        <v>3</v>
      </c>
      <c r="I45" s="30" t="s">
        <v>41</v>
      </c>
      <c r="J45" s="30"/>
      <c r="K45" s="30"/>
      <c r="L45" s="30"/>
    </row>
    <row r="46" spans="1:12" s="26" customFormat="1" x14ac:dyDescent="0.3">
      <c r="A46" s="30">
        <v>4201</v>
      </c>
      <c r="B46" s="30" t="str">
        <f t="shared" si="1"/>
        <v>0x1069</v>
      </c>
      <c r="C46" s="30" t="s">
        <v>252</v>
      </c>
      <c r="D46" s="30" t="s">
        <v>255</v>
      </c>
      <c r="E46" s="30" t="s">
        <v>256</v>
      </c>
      <c r="F46" s="30">
        <v>4</v>
      </c>
      <c r="G46" s="30">
        <v>3</v>
      </c>
      <c r="H46" s="30">
        <v>2</v>
      </c>
      <c r="I46" s="30" t="s">
        <v>41</v>
      </c>
      <c r="J46" s="30"/>
      <c r="K46" s="30"/>
      <c r="L46" s="30"/>
    </row>
    <row r="47" spans="1:12" s="26" customFormat="1" x14ac:dyDescent="0.3">
      <c r="A47" s="30">
        <v>4201</v>
      </c>
      <c r="B47" s="30" t="str">
        <f t="shared" si="1"/>
        <v>0x1069</v>
      </c>
      <c r="C47" s="30" t="s">
        <v>252</v>
      </c>
      <c r="D47" s="30" t="s">
        <v>257</v>
      </c>
      <c r="E47" s="30" t="s">
        <v>258</v>
      </c>
      <c r="F47" s="30">
        <v>10</v>
      </c>
      <c r="G47" s="30">
        <v>8</v>
      </c>
      <c r="H47" s="30">
        <v>3</v>
      </c>
      <c r="I47" s="30" t="s">
        <v>41</v>
      </c>
      <c r="J47" s="30"/>
      <c r="K47" s="30"/>
      <c r="L47" s="30"/>
    </row>
    <row r="48" spans="1:12" s="26" customFormat="1" x14ac:dyDescent="0.3">
      <c r="A48" s="30">
        <v>4201</v>
      </c>
      <c r="B48" s="30" t="str">
        <f t="shared" si="1"/>
        <v>0x1069</v>
      </c>
      <c r="C48" s="30" t="s">
        <v>252</v>
      </c>
      <c r="D48" s="30" t="s">
        <v>259</v>
      </c>
      <c r="E48" s="30" t="s">
        <v>260</v>
      </c>
      <c r="F48" s="30">
        <v>12</v>
      </c>
      <c r="G48" s="30">
        <v>11</v>
      </c>
      <c r="H48" s="30">
        <v>2</v>
      </c>
      <c r="I48" s="30" t="s">
        <v>41</v>
      </c>
      <c r="J48" s="30"/>
      <c r="K48" s="30"/>
      <c r="L48" s="30"/>
    </row>
    <row r="49" spans="1:12" s="26" customFormat="1" x14ac:dyDescent="0.3">
      <c r="A49" s="29">
        <v>4202</v>
      </c>
      <c r="B49" s="29" t="str">
        <f t="shared" si="1"/>
        <v>0x106A</v>
      </c>
      <c r="C49" s="29" t="s">
        <v>261</v>
      </c>
      <c r="D49" s="29" t="s">
        <v>262</v>
      </c>
      <c r="E49" s="29" t="s">
        <v>263</v>
      </c>
      <c r="F49" s="29">
        <v>2</v>
      </c>
      <c r="G49" s="29">
        <v>0</v>
      </c>
      <c r="H49" s="29">
        <v>3</v>
      </c>
      <c r="I49" s="29" t="s">
        <v>41</v>
      </c>
      <c r="J49" s="29"/>
      <c r="K49" s="29"/>
      <c r="L49" s="29"/>
    </row>
    <row r="50" spans="1:12" s="26" customFormat="1" x14ac:dyDescent="0.3">
      <c r="A50" s="29">
        <v>4202</v>
      </c>
      <c r="B50" s="29" t="str">
        <f t="shared" si="1"/>
        <v>0x106A</v>
      </c>
      <c r="C50" s="29" t="s">
        <v>261</v>
      </c>
      <c r="D50" s="29" t="s">
        <v>264</v>
      </c>
      <c r="E50" s="29" t="s">
        <v>265</v>
      </c>
      <c r="F50" s="29">
        <v>4</v>
      </c>
      <c r="G50" s="29">
        <v>3</v>
      </c>
      <c r="H50" s="29">
        <v>2</v>
      </c>
      <c r="I50" s="29" t="s">
        <v>41</v>
      </c>
      <c r="J50" s="29"/>
      <c r="K50" s="29"/>
      <c r="L50" s="29"/>
    </row>
    <row r="51" spans="1:12" s="26" customFormat="1" x14ac:dyDescent="0.3">
      <c r="A51" s="29">
        <v>4202</v>
      </c>
      <c r="B51" s="29" t="str">
        <f t="shared" si="1"/>
        <v>0x106A</v>
      </c>
      <c r="C51" s="29" t="s">
        <v>261</v>
      </c>
      <c r="D51" s="29" t="s">
        <v>266</v>
      </c>
      <c r="E51" s="29" t="s">
        <v>267</v>
      </c>
      <c r="F51" s="29">
        <v>10</v>
      </c>
      <c r="G51" s="29">
        <v>8</v>
      </c>
      <c r="H51" s="29">
        <v>3</v>
      </c>
      <c r="I51" s="29" t="s">
        <v>41</v>
      </c>
      <c r="J51" s="29"/>
      <c r="K51" s="29"/>
      <c r="L51" s="29"/>
    </row>
    <row r="52" spans="1:12" s="26" customFormat="1" x14ac:dyDescent="0.3">
      <c r="A52" s="29">
        <v>4202</v>
      </c>
      <c r="B52" s="29" t="str">
        <f t="shared" si="1"/>
        <v>0x106A</v>
      </c>
      <c r="C52" s="29" t="s">
        <v>261</v>
      </c>
      <c r="D52" s="29" t="s">
        <v>268</v>
      </c>
      <c r="E52" s="29" t="s">
        <v>269</v>
      </c>
      <c r="F52" s="29">
        <v>12</v>
      </c>
      <c r="G52" s="29">
        <v>11</v>
      </c>
      <c r="H52" s="29">
        <v>2</v>
      </c>
      <c r="I52" s="29" t="s">
        <v>41</v>
      </c>
      <c r="J52" s="29"/>
      <c r="K52" s="29"/>
      <c r="L52" s="29"/>
    </row>
    <row r="53" spans="1:12" s="26" customFormat="1" x14ac:dyDescent="0.3">
      <c r="A53" s="30">
        <v>4203</v>
      </c>
      <c r="B53" s="30" t="str">
        <f t="shared" si="1"/>
        <v>0x106B</v>
      </c>
      <c r="C53" s="30" t="s">
        <v>270</v>
      </c>
      <c r="D53" s="30" t="s">
        <v>271</v>
      </c>
      <c r="E53" s="30" t="s">
        <v>272</v>
      </c>
      <c r="F53" s="30">
        <v>2</v>
      </c>
      <c r="G53" s="30">
        <v>0</v>
      </c>
      <c r="H53" s="30">
        <v>3</v>
      </c>
      <c r="I53" s="30" t="s">
        <v>41</v>
      </c>
      <c r="J53" s="30"/>
      <c r="K53" s="30"/>
      <c r="L53" s="30"/>
    </row>
    <row r="54" spans="1:12" s="26" customFormat="1" x14ac:dyDescent="0.3">
      <c r="A54" s="30">
        <v>4203</v>
      </c>
      <c r="B54" s="30" t="str">
        <f t="shared" si="1"/>
        <v>0x106B</v>
      </c>
      <c r="C54" s="30" t="s">
        <v>270</v>
      </c>
      <c r="D54" s="30" t="s">
        <v>273</v>
      </c>
      <c r="E54" s="30" t="s">
        <v>274</v>
      </c>
      <c r="F54" s="30">
        <v>4</v>
      </c>
      <c r="G54" s="30">
        <v>3</v>
      </c>
      <c r="H54" s="30">
        <v>2</v>
      </c>
      <c r="I54" s="30" t="s">
        <v>41</v>
      </c>
      <c r="J54" s="30"/>
      <c r="K54" s="30"/>
      <c r="L54" s="30"/>
    </row>
    <row r="55" spans="1:12" s="26" customFormat="1" x14ac:dyDescent="0.3">
      <c r="A55" s="30">
        <v>4203</v>
      </c>
      <c r="B55" s="30" t="str">
        <f t="shared" si="1"/>
        <v>0x106B</v>
      </c>
      <c r="C55" s="30" t="s">
        <v>270</v>
      </c>
      <c r="D55" s="30" t="s">
        <v>275</v>
      </c>
      <c r="E55" s="30" t="s">
        <v>276</v>
      </c>
      <c r="F55" s="30">
        <v>10</v>
      </c>
      <c r="G55" s="30">
        <v>8</v>
      </c>
      <c r="H55" s="30">
        <v>3</v>
      </c>
      <c r="I55" s="30" t="s">
        <v>41</v>
      </c>
      <c r="J55" s="30"/>
      <c r="K55" s="30"/>
      <c r="L55" s="30"/>
    </row>
    <row r="56" spans="1:12" s="26" customFormat="1" x14ac:dyDescent="0.3">
      <c r="A56" s="30">
        <v>4203</v>
      </c>
      <c r="B56" s="30" t="str">
        <f t="shared" si="1"/>
        <v>0x106B</v>
      </c>
      <c r="C56" s="30" t="s">
        <v>270</v>
      </c>
      <c r="D56" s="30" t="s">
        <v>277</v>
      </c>
      <c r="E56" s="30" t="s">
        <v>278</v>
      </c>
      <c r="F56" s="30">
        <v>12</v>
      </c>
      <c r="G56" s="30">
        <v>11</v>
      </c>
      <c r="H56" s="30">
        <v>2</v>
      </c>
      <c r="I56" s="30" t="s">
        <v>41</v>
      </c>
      <c r="J56" s="30"/>
      <c r="K56" s="30"/>
      <c r="L56" s="3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5"/>
  <sheetViews>
    <sheetView topLeftCell="A48" zoomScaleNormal="100" workbookViewId="0">
      <selection activeCell="G56" sqref="G56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7" width="5" customWidth="1"/>
  </cols>
  <sheetData>
    <row r="1" spans="1:12" ht="14.25" customHeight="1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  <c r="F1" s="4"/>
      <c r="G1" s="4"/>
      <c r="H1" s="4"/>
      <c r="I1" s="4"/>
      <c r="J1" s="4"/>
      <c r="K1" s="4"/>
      <c r="L1" s="4"/>
    </row>
    <row r="2" spans="1:12" ht="14.25" customHeight="1" x14ac:dyDescent="0.3">
      <c r="A2" s="9" t="s">
        <v>9</v>
      </c>
      <c r="B2" s="4"/>
      <c r="C2" s="10">
        <f>Setup!B2</f>
        <v>46161</v>
      </c>
      <c r="D2" s="10" t="str">
        <f>Setup!C2</f>
        <v>PA3</v>
      </c>
      <c r="E2" s="5" t="s">
        <v>10</v>
      </c>
      <c r="F2" s="4"/>
      <c r="G2" s="4"/>
      <c r="H2" s="4"/>
      <c r="I2" s="4"/>
      <c r="J2" s="4"/>
      <c r="K2" s="4"/>
      <c r="L2" s="4"/>
    </row>
    <row r="3" spans="1:12" ht="14.25" customHeight="1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3" t="s">
        <v>21</v>
      </c>
      <c r="L3" s="13" t="s">
        <v>22</v>
      </c>
    </row>
    <row r="4" spans="1:12" ht="14.25" customHeight="1" x14ac:dyDescent="0.3">
      <c r="A4" s="14"/>
      <c r="B4" s="14"/>
      <c r="C4" s="14"/>
      <c r="D4" s="15"/>
      <c r="E4" s="16"/>
      <c r="F4" s="14"/>
      <c r="G4" s="14"/>
      <c r="H4" s="14"/>
      <c r="I4" s="17"/>
      <c r="J4" s="14"/>
      <c r="K4" s="14"/>
      <c r="L4" s="14"/>
    </row>
    <row r="5" spans="1:12" ht="14.25" customHeight="1" x14ac:dyDescent="0.3">
      <c r="A5" s="18">
        <v>4152</v>
      </c>
      <c r="B5" s="18" t="str">
        <f t="shared" ref="B5:B56" si="0">_xlfn.CONCAT("0x",DEC2HEX(A5,4))</f>
        <v>0x1038</v>
      </c>
      <c r="C5" s="22" t="str">
        <f t="shared" ref="C5:C56" si="1">"bias_ctrl" &amp; "_" &amp; (A5-4152)</f>
        <v>bias_ctrl_0</v>
      </c>
      <c r="D5" s="22" t="s">
        <v>279</v>
      </c>
      <c r="E5" s="24" t="s">
        <v>280</v>
      </c>
      <c r="F5" s="22">
        <v>5</v>
      </c>
      <c r="G5" s="22">
        <v>0</v>
      </c>
      <c r="H5" s="22">
        <v>6</v>
      </c>
      <c r="I5" s="22" t="s">
        <v>41</v>
      </c>
      <c r="J5" s="22"/>
      <c r="K5" s="22"/>
      <c r="L5" s="22"/>
    </row>
    <row r="6" spans="1:12" ht="14.25" customHeight="1" x14ac:dyDescent="0.3">
      <c r="A6" s="18">
        <v>4152</v>
      </c>
      <c r="B6" s="18" t="str">
        <f t="shared" si="0"/>
        <v>0x1038</v>
      </c>
      <c r="C6" s="22" t="str">
        <f t="shared" si="1"/>
        <v>bias_ctrl_0</v>
      </c>
      <c r="D6" s="22" t="s">
        <v>281</v>
      </c>
      <c r="E6" s="24" t="s">
        <v>282</v>
      </c>
      <c r="F6" s="22">
        <v>13</v>
      </c>
      <c r="G6" s="22">
        <v>8</v>
      </c>
      <c r="H6" s="22">
        <v>6</v>
      </c>
      <c r="I6" s="22" t="s">
        <v>41</v>
      </c>
      <c r="J6" s="22"/>
      <c r="K6" s="22"/>
      <c r="L6" s="22"/>
    </row>
    <row r="7" spans="1:12" ht="14.25" customHeight="1" x14ac:dyDescent="0.3">
      <c r="A7" s="20">
        <v>4156</v>
      </c>
      <c r="B7" s="20" t="str">
        <f t="shared" si="0"/>
        <v>0x103C</v>
      </c>
      <c r="C7" s="21" t="str">
        <f t="shared" si="1"/>
        <v>bias_ctrl_4</v>
      </c>
      <c r="D7" s="21" t="s">
        <v>283</v>
      </c>
      <c r="E7" s="25" t="s">
        <v>284</v>
      </c>
      <c r="F7" s="21">
        <v>5</v>
      </c>
      <c r="G7" s="21">
        <v>0</v>
      </c>
      <c r="H7" s="21">
        <v>6</v>
      </c>
      <c r="I7" s="21" t="s">
        <v>41</v>
      </c>
      <c r="J7" s="21"/>
      <c r="K7" s="21"/>
      <c r="L7" s="21"/>
    </row>
    <row r="8" spans="1:12" ht="28.5" customHeight="1" x14ac:dyDescent="0.3">
      <c r="A8" s="20">
        <v>4156</v>
      </c>
      <c r="B8" s="20" t="str">
        <f t="shared" si="0"/>
        <v>0x103C</v>
      </c>
      <c r="C8" s="21" t="str">
        <f t="shared" si="1"/>
        <v>bias_ctrl_4</v>
      </c>
      <c r="D8" s="21" t="s">
        <v>285</v>
      </c>
      <c r="E8" s="25" t="s">
        <v>286</v>
      </c>
      <c r="F8" s="21">
        <v>13</v>
      </c>
      <c r="G8" s="21">
        <v>8</v>
      </c>
      <c r="H8" s="21">
        <v>6</v>
      </c>
      <c r="I8" s="21" t="s">
        <v>41</v>
      </c>
      <c r="J8" s="21"/>
      <c r="K8" s="21"/>
      <c r="L8" s="21"/>
    </row>
    <row r="9" spans="1:12" ht="14.25" customHeight="1" x14ac:dyDescent="0.3">
      <c r="A9" s="18">
        <v>4160</v>
      </c>
      <c r="B9" s="18" t="str">
        <f t="shared" si="0"/>
        <v>0x1040</v>
      </c>
      <c r="C9" s="22" t="str">
        <f t="shared" si="1"/>
        <v>bias_ctrl_8</v>
      </c>
      <c r="D9" s="22" t="s">
        <v>287</v>
      </c>
      <c r="E9" s="24" t="s">
        <v>288</v>
      </c>
      <c r="F9" s="22">
        <v>5</v>
      </c>
      <c r="G9" s="22">
        <v>0</v>
      </c>
      <c r="H9" s="22">
        <v>6</v>
      </c>
      <c r="I9" s="22" t="s">
        <v>41</v>
      </c>
      <c r="J9" s="22"/>
      <c r="K9" s="22"/>
      <c r="L9" s="22"/>
    </row>
    <row r="10" spans="1:12" ht="14.25" customHeight="1" x14ac:dyDescent="0.3">
      <c r="A10" s="18">
        <v>4160</v>
      </c>
      <c r="B10" s="18" t="str">
        <f t="shared" si="0"/>
        <v>0x1040</v>
      </c>
      <c r="C10" s="22" t="str">
        <f t="shared" si="1"/>
        <v>bias_ctrl_8</v>
      </c>
      <c r="D10" s="22" t="s">
        <v>289</v>
      </c>
      <c r="E10" s="24" t="s">
        <v>290</v>
      </c>
      <c r="F10" s="22">
        <v>13</v>
      </c>
      <c r="G10" s="22">
        <v>8</v>
      </c>
      <c r="H10" s="22">
        <v>6</v>
      </c>
      <c r="I10" s="22" t="s">
        <v>41</v>
      </c>
      <c r="J10" s="22"/>
      <c r="K10" s="22"/>
      <c r="L10" s="22"/>
    </row>
    <row r="11" spans="1:12" ht="14.25" customHeight="1" x14ac:dyDescent="0.3">
      <c r="A11" s="20">
        <v>4164</v>
      </c>
      <c r="B11" s="20" t="str">
        <f t="shared" si="0"/>
        <v>0x1044</v>
      </c>
      <c r="C11" s="21" t="str">
        <f t="shared" si="1"/>
        <v>bias_ctrl_12</v>
      </c>
      <c r="D11" s="21" t="s">
        <v>291</v>
      </c>
      <c r="E11" s="25" t="s">
        <v>292</v>
      </c>
      <c r="F11" s="21">
        <v>5</v>
      </c>
      <c r="G11" s="21">
        <v>0</v>
      </c>
      <c r="H11" s="21">
        <v>6</v>
      </c>
      <c r="I11" s="21" t="s">
        <v>41</v>
      </c>
      <c r="J11" s="21"/>
      <c r="K11" s="21"/>
      <c r="L11" s="21"/>
    </row>
    <row r="12" spans="1:12" ht="28.5" customHeight="1" x14ac:dyDescent="0.3">
      <c r="A12" s="20">
        <v>4164</v>
      </c>
      <c r="B12" s="20" t="str">
        <f t="shared" si="0"/>
        <v>0x1044</v>
      </c>
      <c r="C12" s="21" t="str">
        <f t="shared" si="1"/>
        <v>bias_ctrl_12</v>
      </c>
      <c r="D12" s="21" t="s">
        <v>293</v>
      </c>
      <c r="E12" s="25" t="s">
        <v>286</v>
      </c>
      <c r="F12" s="21">
        <v>13</v>
      </c>
      <c r="G12" s="21">
        <v>8</v>
      </c>
      <c r="H12" s="21">
        <v>6</v>
      </c>
      <c r="I12" s="21" t="s">
        <v>41</v>
      </c>
      <c r="J12" s="21"/>
      <c r="K12" s="21"/>
      <c r="L12" s="21"/>
    </row>
    <row r="13" spans="1:12" ht="14.25" customHeight="1" x14ac:dyDescent="0.3">
      <c r="A13" s="18">
        <v>4153</v>
      </c>
      <c r="B13" s="18" t="str">
        <f t="shared" si="0"/>
        <v>0x1039</v>
      </c>
      <c r="C13" s="22" t="str">
        <f t="shared" si="1"/>
        <v>bias_ctrl_1</v>
      </c>
      <c r="D13" s="22" t="s">
        <v>294</v>
      </c>
      <c r="E13" s="24" t="s">
        <v>295</v>
      </c>
      <c r="F13" s="22">
        <v>5</v>
      </c>
      <c r="G13" s="22">
        <v>0</v>
      </c>
      <c r="H13" s="22">
        <v>6</v>
      </c>
      <c r="I13" s="22" t="s">
        <v>41</v>
      </c>
      <c r="J13" s="22"/>
      <c r="K13" s="22"/>
      <c r="L13" s="22"/>
    </row>
    <row r="14" spans="1:12" ht="14.25" customHeight="1" x14ac:dyDescent="0.3">
      <c r="A14" s="18">
        <v>4153</v>
      </c>
      <c r="B14" s="18" t="str">
        <f t="shared" si="0"/>
        <v>0x1039</v>
      </c>
      <c r="C14" s="22" t="str">
        <f t="shared" si="1"/>
        <v>bias_ctrl_1</v>
      </c>
      <c r="D14" s="22" t="s">
        <v>296</v>
      </c>
      <c r="E14" s="24" t="s">
        <v>297</v>
      </c>
      <c r="F14" s="22">
        <v>13</v>
      </c>
      <c r="G14" s="22">
        <v>8</v>
      </c>
      <c r="H14" s="22">
        <v>6</v>
      </c>
      <c r="I14" s="22" t="s">
        <v>41</v>
      </c>
      <c r="J14" s="22"/>
      <c r="K14" s="22"/>
      <c r="L14" s="22"/>
    </row>
    <row r="15" spans="1:12" ht="14.25" customHeight="1" x14ac:dyDescent="0.3">
      <c r="A15" s="20">
        <v>4157</v>
      </c>
      <c r="B15" s="20" t="str">
        <f t="shared" si="0"/>
        <v>0x103D</v>
      </c>
      <c r="C15" s="21" t="str">
        <f t="shared" si="1"/>
        <v>bias_ctrl_5</v>
      </c>
      <c r="D15" s="21" t="s">
        <v>298</v>
      </c>
      <c r="E15" s="25" t="s">
        <v>299</v>
      </c>
      <c r="F15" s="21">
        <v>5</v>
      </c>
      <c r="G15" s="21">
        <v>0</v>
      </c>
      <c r="H15" s="21">
        <v>6</v>
      </c>
      <c r="I15" s="21" t="s">
        <v>41</v>
      </c>
      <c r="J15" s="21"/>
      <c r="K15" s="21"/>
      <c r="L15" s="21"/>
    </row>
    <row r="16" spans="1:12" ht="28.5" customHeight="1" x14ac:dyDescent="0.3">
      <c r="A16" s="20">
        <v>4157</v>
      </c>
      <c r="B16" s="20" t="str">
        <f t="shared" si="0"/>
        <v>0x103D</v>
      </c>
      <c r="C16" s="21" t="str">
        <f t="shared" si="1"/>
        <v>bias_ctrl_5</v>
      </c>
      <c r="D16" s="21" t="s">
        <v>300</v>
      </c>
      <c r="E16" s="25" t="s">
        <v>286</v>
      </c>
      <c r="F16" s="21">
        <v>13</v>
      </c>
      <c r="G16" s="21">
        <v>8</v>
      </c>
      <c r="H16" s="21">
        <v>6</v>
      </c>
      <c r="I16" s="21" t="s">
        <v>41</v>
      </c>
      <c r="J16" s="21"/>
      <c r="K16" s="21"/>
      <c r="L16" s="21"/>
    </row>
    <row r="17" spans="1:12" ht="14.25" customHeight="1" x14ac:dyDescent="0.3">
      <c r="A17" s="18">
        <v>4161</v>
      </c>
      <c r="B17" s="18" t="str">
        <f t="shared" si="0"/>
        <v>0x1041</v>
      </c>
      <c r="C17" s="22" t="str">
        <f t="shared" si="1"/>
        <v>bias_ctrl_9</v>
      </c>
      <c r="D17" s="22" t="s">
        <v>301</v>
      </c>
      <c r="E17" s="24" t="s">
        <v>302</v>
      </c>
      <c r="F17" s="22">
        <v>5</v>
      </c>
      <c r="G17" s="22">
        <v>0</v>
      </c>
      <c r="H17" s="22">
        <v>6</v>
      </c>
      <c r="I17" s="22" t="s">
        <v>41</v>
      </c>
      <c r="J17" s="22"/>
      <c r="K17" s="22"/>
      <c r="L17" s="22"/>
    </row>
    <row r="18" spans="1:12" ht="14.25" customHeight="1" x14ac:dyDescent="0.3">
      <c r="A18" s="18">
        <v>4161</v>
      </c>
      <c r="B18" s="18" t="str">
        <f t="shared" si="0"/>
        <v>0x1041</v>
      </c>
      <c r="C18" s="22" t="str">
        <f t="shared" si="1"/>
        <v>bias_ctrl_9</v>
      </c>
      <c r="D18" s="22" t="s">
        <v>303</v>
      </c>
      <c r="E18" s="24" t="s">
        <v>304</v>
      </c>
      <c r="F18" s="22">
        <v>13</v>
      </c>
      <c r="G18" s="22">
        <v>8</v>
      </c>
      <c r="H18" s="22">
        <v>6</v>
      </c>
      <c r="I18" s="22" t="s">
        <v>41</v>
      </c>
      <c r="J18" s="22"/>
      <c r="K18" s="22"/>
      <c r="L18" s="22"/>
    </row>
    <row r="19" spans="1:12" ht="14.25" customHeight="1" x14ac:dyDescent="0.3">
      <c r="A19" s="20">
        <v>4165</v>
      </c>
      <c r="B19" s="20" t="str">
        <f t="shared" si="0"/>
        <v>0x1045</v>
      </c>
      <c r="C19" s="21" t="str">
        <f t="shared" si="1"/>
        <v>bias_ctrl_13</v>
      </c>
      <c r="D19" s="21" t="s">
        <v>305</v>
      </c>
      <c r="E19" s="25" t="s">
        <v>306</v>
      </c>
      <c r="F19" s="21">
        <v>5</v>
      </c>
      <c r="G19" s="21">
        <v>0</v>
      </c>
      <c r="H19" s="21">
        <v>6</v>
      </c>
      <c r="I19" s="21" t="s">
        <v>41</v>
      </c>
      <c r="J19" s="21"/>
      <c r="K19" s="21"/>
      <c r="L19" s="21"/>
    </row>
    <row r="20" spans="1:12" ht="28.5" customHeight="1" x14ac:dyDescent="0.3">
      <c r="A20" s="20">
        <v>4165</v>
      </c>
      <c r="B20" s="20" t="str">
        <f t="shared" si="0"/>
        <v>0x1045</v>
      </c>
      <c r="C20" s="21" t="str">
        <f t="shared" si="1"/>
        <v>bias_ctrl_13</v>
      </c>
      <c r="D20" s="21" t="s">
        <v>307</v>
      </c>
      <c r="E20" s="25" t="s">
        <v>286</v>
      </c>
      <c r="F20" s="21">
        <v>13</v>
      </c>
      <c r="G20" s="21">
        <v>8</v>
      </c>
      <c r="H20" s="21">
        <v>6</v>
      </c>
      <c r="I20" s="21" t="s">
        <v>41</v>
      </c>
      <c r="J20" s="21"/>
      <c r="K20" s="21"/>
      <c r="L20" s="21"/>
    </row>
    <row r="21" spans="1:12" ht="14.25" customHeight="1" x14ac:dyDescent="0.3">
      <c r="A21" s="18">
        <v>4154</v>
      </c>
      <c r="B21" s="18" t="str">
        <f t="shared" si="0"/>
        <v>0x103A</v>
      </c>
      <c r="C21" s="22" t="str">
        <f t="shared" si="1"/>
        <v>bias_ctrl_2</v>
      </c>
      <c r="D21" s="22" t="s">
        <v>308</v>
      </c>
      <c r="E21" s="24" t="s">
        <v>309</v>
      </c>
      <c r="F21" s="22">
        <v>5</v>
      </c>
      <c r="G21" s="22">
        <v>0</v>
      </c>
      <c r="H21" s="22">
        <v>6</v>
      </c>
      <c r="I21" s="22" t="s">
        <v>41</v>
      </c>
      <c r="J21" s="22"/>
      <c r="K21" s="22"/>
      <c r="L21" s="22"/>
    </row>
    <row r="22" spans="1:12" ht="14.25" customHeight="1" x14ac:dyDescent="0.3">
      <c r="A22" s="18">
        <v>4154</v>
      </c>
      <c r="B22" s="18" t="str">
        <f t="shared" si="0"/>
        <v>0x103A</v>
      </c>
      <c r="C22" s="22" t="str">
        <f t="shared" si="1"/>
        <v>bias_ctrl_2</v>
      </c>
      <c r="D22" s="22" t="s">
        <v>310</v>
      </c>
      <c r="E22" s="24" t="s">
        <v>311</v>
      </c>
      <c r="F22" s="22">
        <v>13</v>
      </c>
      <c r="G22" s="22">
        <v>8</v>
      </c>
      <c r="H22" s="22">
        <v>6</v>
      </c>
      <c r="I22" s="22" t="s">
        <v>41</v>
      </c>
      <c r="J22" s="22"/>
      <c r="K22" s="22"/>
      <c r="L22" s="22"/>
    </row>
    <row r="23" spans="1:12" ht="14.25" customHeight="1" x14ac:dyDescent="0.3">
      <c r="A23" s="20">
        <v>4158</v>
      </c>
      <c r="B23" s="20" t="str">
        <f t="shared" si="0"/>
        <v>0x103E</v>
      </c>
      <c r="C23" s="21" t="str">
        <f t="shared" si="1"/>
        <v>bias_ctrl_6</v>
      </c>
      <c r="D23" s="21" t="s">
        <v>312</v>
      </c>
      <c r="E23" s="25" t="s">
        <v>313</v>
      </c>
      <c r="F23" s="21">
        <v>5</v>
      </c>
      <c r="G23" s="21">
        <v>0</v>
      </c>
      <c r="H23" s="21">
        <v>6</v>
      </c>
      <c r="I23" s="21" t="s">
        <v>41</v>
      </c>
      <c r="J23" s="21"/>
      <c r="K23" s="21"/>
      <c r="L23" s="21"/>
    </row>
    <row r="24" spans="1:12" ht="28.5" customHeight="1" x14ac:dyDescent="0.3">
      <c r="A24" s="20">
        <v>4158</v>
      </c>
      <c r="B24" s="20" t="str">
        <f t="shared" si="0"/>
        <v>0x103E</v>
      </c>
      <c r="C24" s="21" t="str">
        <f t="shared" si="1"/>
        <v>bias_ctrl_6</v>
      </c>
      <c r="D24" s="21" t="s">
        <v>314</v>
      </c>
      <c r="E24" s="25" t="s">
        <v>286</v>
      </c>
      <c r="F24" s="21">
        <v>13</v>
      </c>
      <c r="G24" s="21">
        <v>8</v>
      </c>
      <c r="H24" s="21">
        <v>6</v>
      </c>
      <c r="I24" s="21" t="s">
        <v>41</v>
      </c>
      <c r="J24" s="21"/>
      <c r="K24" s="21"/>
      <c r="L24" s="21"/>
    </row>
    <row r="25" spans="1:12" ht="14.25" customHeight="1" x14ac:dyDescent="0.3">
      <c r="A25" s="18">
        <v>4162</v>
      </c>
      <c r="B25" s="18" t="str">
        <f t="shared" si="0"/>
        <v>0x1042</v>
      </c>
      <c r="C25" s="22" t="str">
        <f t="shared" si="1"/>
        <v>bias_ctrl_10</v>
      </c>
      <c r="D25" s="22" t="s">
        <v>315</v>
      </c>
      <c r="E25" s="24" t="s">
        <v>316</v>
      </c>
      <c r="F25" s="22">
        <v>5</v>
      </c>
      <c r="G25" s="22">
        <v>0</v>
      </c>
      <c r="H25" s="22">
        <v>6</v>
      </c>
      <c r="I25" s="22" t="s">
        <v>41</v>
      </c>
      <c r="J25" s="22"/>
      <c r="K25" s="22"/>
      <c r="L25" s="22"/>
    </row>
    <row r="26" spans="1:12" ht="14.25" customHeight="1" x14ac:dyDescent="0.3">
      <c r="A26" s="18">
        <v>4162</v>
      </c>
      <c r="B26" s="18" t="str">
        <f t="shared" si="0"/>
        <v>0x1042</v>
      </c>
      <c r="C26" s="22" t="str">
        <f t="shared" si="1"/>
        <v>bias_ctrl_10</v>
      </c>
      <c r="D26" s="22" t="s">
        <v>317</v>
      </c>
      <c r="E26" s="24" t="s">
        <v>318</v>
      </c>
      <c r="F26" s="22">
        <v>13</v>
      </c>
      <c r="G26" s="22">
        <v>8</v>
      </c>
      <c r="H26" s="22">
        <v>6</v>
      </c>
      <c r="I26" s="22" t="s">
        <v>41</v>
      </c>
      <c r="J26" s="22"/>
      <c r="K26" s="22"/>
      <c r="L26" s="22"/>
    </row>
    <row r="27" spans="1:12" ht="14.25" customHeight="1" x14ac:dyDescent="0.3">
      <c r="A27" s="20">
        <v>4166</v>
      </c>
      <c r="B27" s="20" t="str">
        <f t="shared" si="0"/>
        <v>0x1046</v>
      </c>
      <c r="C27" s="21" t="str">
        <f t="shared" si="1"/>
        <v>bias_ctrl_14</v>
      </c>
      <c r="D27" s="21" t="s">
        <v>319</v>
      </c>
      <c r="E27" s="25" t="s">
        <v>320</v>
      </c>
      <c r="F27" s="21">
        <v>5</v>
      </c>
      <c r="G27" s="21">
        <v>0</v>
      </c>
      <c r="H27" s="21">
        <v>6</v>
      </c>
      <c r="I27" s="21" t="s">
        <v>41</v>
      </c>
      <c r="J27" s="21"/>
      <c r="K27" s="21"/>
      <c r="L27" s="21"/>
    </row>
    <row r="28" spans="1:12" ht="28.5" customHeight="1" x14ac:dyDescent="0.3">
      <c r="A28" s="20">
        <v>4166</v>
      </c>
      <c r="B28" s="20" t="str">
        <f t="shared" si="0"/>
        <v>0x1046</v>
      </c>
      <c r="C28" s="21" t="str">
        <f t="shared" si="1"/>
        <v>bias_ctrl_14</v>
      </c>
      <c r="D28" s="21" t="s">
        <v>321</v>
      </c>
      <c r="E28" s="25" t="s">
        <v>286</v>
      </c>
      <c r="F28" s="21">
        <v>13</v>
      </c>
      <c r="G28" s="21">
        <v>8</v>
      </c>
      <c r="H28" s="21">
        <v>6</v>
      </c>
      <c r="I28" s="21" t="s">
        <v>41</v>
      </c>
      <c r="J28" s="21"/>
      <c r="K28" s="21"/>
      <c r="L28" s="21"/>
    </row>
    <row r="29" spans="1:12" ht="14.25" customHeight="1" x14ac:dyDescent="0.3">
      <c r="A29" s="18">
        <v>4155</v>
      </c>
      <c r="B29" s="18" t="str">
        <f t="shared" si="0"/>
        <v>0x103B</v>
      </c>
      <c r="C29" s="22" t="str">
        <f t="shared" si="1"/>
        <v>bias_ctrl_3</v>
      </c>
      <c r="D29" s="22" t="s">
        <v>322</v>
      </c>
      <c r="E29" s="24" t="s">
        <v>323</v>
      </c>
      <c r="F29" s="22">
        <v>5</v>
      </c>
      <c r="G29" s="22">
        <v>0</v>
      </c>
      <c r="H29" s="22">
        <v>6</v>
      </c>
      <c r="I29" s="22" t="s">
        <v>41</v>
      </c>
      <c r="J29" s="22"/>
      <c r="K29" s="22"/>
      <c r="L29" s="22"/>
    </row>
    <row r="30" spans="1:12" ht="14.25" customHeight="1" x14ac:dyDescent="0.3">
      <c r="A30" s="18">
        <v>4155</v>
      </c>
      <c r="B30" s="18" t="str">
        <f t="shared" si="0"/>
        <v>0x103B</v>
      </c>
      <c r="C30" s="22" t="str">
        <f t="shared" si="1"/>
        <v>bias_ctrl_3</v>
      </c>
      <c r="D30" s="22" t="s">
        <v>324</v>
      </c>
      <c r="E30" s="24" t="s">
        <v>325</v>
      </c>
      <c r="F30" s="22">
        <v>13</v>
      </c>
      <c r="G30" s="22">
        <v>8</v>
      </c>
      <c r="H30" s="22">
        <v>6</v>
      </c>
      <c r="I30" s="22" t="s">
        <v>41</v>
      </c>
      <c r="J30" s="22"/>
      <c r="K30" s="22"/>
      <c r="L30" s="22"/>
    </row>
    <row r="31" spans="1:12" ht="14.25" customHeight="1" x14ac:dyDescent="0.3">
      <c r="A31" s="20">
        <v>4159</v>
      </c>
      <c r="B31" s="20" t="str">
        <f t="shared" si="0"/>
        <v>0x103F</v>
      </c>
      <c r="C31" s="21" t="str">
        <f t="shared" si="1"/>
        <v>bias_ctrl_7</v>
      </c>
      <c r="D31" s="21" t="s">
        <v>326</v>
      </c>
      <c r="E31" s="25" t="s">
        <v>327</v>
      </c>
      <c r="F31" s="21">
        <v>5</v>
      </c>
      <c r="G31" s="21">
        <v>0</v>
      </c>
      <c r="H31" s="21">
        <v>6</v>
      </c>
      <c r="I31" s="21" t="s">
        <v>41</v>
      </c>
      <c r="J31" s="21"/>
      <c r="K31" s="21"/>
      <c r="L31" s="21"/>
    </row>
    <row r="32" spans="1:12" ht="28.5" customHeight="1" x14ac:dyDescent="0.3">
      <c r="A32" s="20">
        <v>4159</v>
      </c>
      <c r="B32" s="20" t="str">
        <f t="shared" si="0"/>
        <v>0x103F</v>
      </c>
      <c r="C32" s="21" t="str">
        <f t="shared" si="1"/>
        <v>bias_ctrl_7</v>
      </c>
      <c r="D32" s="21" t="s">
        <v>328</v>
      </c>
      <c r="E32" s="25" t="s">
        <v>286</v>
      </c>
      <c r="F32" s="21">
        <v>13</v>
      </c>
      <c r="G32" s="21">
        <v>8</v>
      </c>
      <c r="H32" s="21">
        <v>6</v>
      </c>
      <c r="I32" s="21" t="s">
        <v>41</v>
      </c>
      <c r="J32" s="21"/>
      <c r="K32" s="21"/>
      <c r="L32" s="21"/>
    </row>
    <row r="33" spans="1:12" ht="14.25" customHeight="1" x14ac:dyDescent="0.3">
      <c r="A33" s="18">
        <v>4163</v>
      </c>
      <c r="B33" s="18" t="str">
        <f t="shared" si="0"/>
        <v>0x1043</v>
      </c>
      <c r="C33" s="22" t="str">
        <f t="shared" si="1"/>
        <v>bias_ctrl_11</v>
      </c>
      <c r="D33" s="22" t="s">
        <v>329</v>
      </c>
      <c r="E33" s="24" t="s">
        <v>330</v>
      </c>
      <c r="F33" s="22">
        <v>5</v>
      </c>
      <c r="G33" s="22">
        <v>0</v>
      </c>
      <c r="H33" s="22">
        <v>6</v>
      </c>
      <c r="I33" s="22" t="s">
        <v>41</v>
      </c>
      <c r="J33" s="22"/>
      <c r="K33" s="22"/>
      <c r="L33" s="22"/>
    </row>
    <row r="34" spans="1:12" ht="14.25" customHeight="1" x14ac:dyDescent="0.3">
      <c r="A34" s="18">
        <v>4163</v>
      </c>
      <c r="B34" s="18" t="str">
        <f t="shared" si="0"/>
        <v>0x1043</v>
      </c>
      <c r="C34" s="22" t="str">
        <f t="shared" si="1"/>
        <v>bias_ctrl_11</v>
      </c>
      <c r="D34" s="22" t="s">
        <v>331</v>
      </c>
      <c r="E34" s="24" t="s">
        <v>332</v>
      </c>
      <c r="F34" s="22">
        <v>13</v>
      </c>
      <c r="G34" s="22">
        <v>8</v>
      </c>
      <c r="H34" s="22">
        <v>6</v>
      </c>
      <c r="I34" s="22" t="s">
        <v>41</v>
      </c>
      <c r="J34" s="22"/>
      <c r="K34" s="22"/>
      <c r="L34" s="22"/>
    </row>
    <row r="35" spans="1:12" ht="14.25" customHeight="1" x14ac:dyDescent="0.3">
      <c r="A35" s="20">
        <v>4167</v>
      </c>
      <c r="B35" s="20" t="str">
        <f t="shared" si="0"/>
        <v>0x1047</v>
      </c>
      <c r="C35" s="21" t="str">
        <f t="shared" si="1"/>
        <v>bias_ctrl_15</v>
      </c>
      <c r="D35" s="21" t="s">
        <v>333</v>
      </c>
      <c r="E35" s="25" t="s">
        <v>334</v>
      </c>
      <c r="F35" s="21">
        <v>5</v>
      </c>
      <c r="G35" s="21">
        <v>0</v>
      </c>
      <c r="H35" s="21">
        <v>6</v>
      </c>
      <c r="I35" s="21" t="s">
        <v>41</v>
      </c>
      <c r="J35" s="21"/>
      <c r="K35" s="21"/>
      <c r="L35" s="21"/>
    </row>
    <row r="36" spans="1:12" ht="28.5" customHeight="1" x14ac:dyDescent="0.3">
      <c r="A36" s="20">
        <v>4167</v>
      </c>
      <c r="B36" s="20" t="str">
        <f t="shared" si="0"/>
        <v>0x1047</v>
      </c>
      <c r="C36" s="21" t="str">
        <f t="shared" si="1"/>
        <v>bias_ctrl_15</v>
      </c>
      <c r="D36" s="21" t="s">
        <v>335</v>
      </c>
      <c r="E36" s="25" t="s">
        <v>286</v>
      </c>
      <c r="F36" s="21">
        <v>13</v>
      </c>
      <c r="G36" s="21">
        <v>8</v>
      </c>
      <c r="H36" s="21">
        <v>6</v>
      </c>
      <c r="I36" s="21" t="s">
        <v>41</v>
      </c>
      <c r="J36" s="21"/>
      <c r="K36" s="21"/>
      <c r="L36" s="21"/>
    </row>
    <row r="37" spans="1:12" ht="28.5" customHeight="1" x14ac:dyDescent="0.3">
      <c r="A37" s="18">
        <v>4178</v>
      </c>
      <c r="B37" s="18" t="str">
        <f t="shared" si="0"/>
        <v>0x1052</v>
      </c>
      <c r="C37" s="22" t="str">
        <f t="shared" si="1"/>
        <v>bias_ctrl_26</v>
      </c>
      <c r="D37" s="22" t="s">
        <v>336</v>
      </c>
      <c r="E37" s="24" t="s">
        <v>337</v>
      </c>
      <c r="F37" s="22">
        <v>5</v>
      </c>
      <c r="G37" s="22">
        <v>0</v>
      </c>
      <c r="H37" s="22">
        <v>6</v>
      </c>
      <c r="I37" s="22" t="s">
        <v>41</v>
      </c>
      <c r="J37" s="22"/>
      <c r="K37" s="22"/>
      <c r="L37" s="22"/>
    </row>
    <row r="38" spans="1:12" ht="14.25" customHeight="1" x14ac:dyDescent="0.3">
      <c r="A38" s="20">
        <v>4172</v>
      </c>
      <c r="B38" s="20" t="str">
        <f t="shared" si="0"/>
        <v>0x104C</v>
      </c>
      <c r="C38" s="21" t="str">
        <f t="shared" si="1"/>
        <v>bias_ctrl_20</v>
      </c>
      <c r="D38" s="21" t="s">
        <v>338</v>
      </c>
      <c r="E38" s="25" t="s">
        <v>339</v>
      </c>
      <c r="F38" s="21">
        <v>5</v>
      </c>
      <c r="G38" s="21">
        <v>0</v>
      </c>
      <c r="H38" s="21">
        <v>6</v>
      </c>
      <c r="I38" s="21" t="s">
        <v>41</v>
      </c>
      <c r="J38" s="21"/>
      <c r="K38" s="21"/>
      <c r="L38" s="21"/>
    </row>
    <row r="39" spans="1:12" ht="28.5" customHeight="1" x14ac:dyDescent="0.3">
      <c r="A39" s="20">
        <v>4172</v>
      </c>
      <c r="B39" s="20" t="str">
        <f t="shared" si="0"/>
        <v>0x104C</v>
      </c>
      <c r="C39" s="21" t="str">
        <f t="shared" si="1"/>
        <v>bias_ctrl_20</v>
      </c>
      <c r="D39" s="21" t="s">
        <v>340</v>
      </c>
      <c r="E39" s="25" t="s">
        <v>341</v>
      </c>
      <c r="F39" s="21">
        <v>13</v>
      </c>
      <c r="G39" s="21">
        <v>8</v>
      </c>
      <c r="H39" s="21">
        <v>6</v>
      </c>
      <c r="I39" s="21" t="s">
        <v>41</v>
      </c>
      <c r="J39" s="21"/>
      <c r="K39" s="21"/>
      <c r="L39" s="21"/>
    </row>
    <row r="40" spans="1:12" ht="28.5" customHeight="1" x14ac:dyDescent="0.3">
      <c r="A40" s="18">
        <v>4173</v>
      </c>
      <c r="B40" s="18" t="str">
        <f t="shared" si="0"/>
        <v>0x104D</v>
      </c>
      <c r="C40" s="22" t="str">
        <f t="shared" si="1"/>
        <v>bias_ctrl_21</v>
      </c>
      <c r="D40" s="22" t="s">
        <v>342</v>
      </c>
      <c r="E40" s="24" t="s">
        <v>343</v>
      </c>
      <c r="F40" s="22">
        <v>5</v>
      </c>
      <c r="G40" s="22">
        <v>0</v>
      </c>
      <c r="H40" s="22"/>
      <c r="I40" s="22" t="s">
        <v>41</v>
      </c>
      <c r="J40" s="22"/>
      <c r="K40" s="22"/>
      <c r="L40" s="22"/>
    </row>
    <row r="41" spans="1:12" ht="14.25" customHeight="1" x14ac:dyDescent="0.3">
      <c r="A41" s="20">
        <v>4174</v>
      </c>
      <c r="B41" s="20" t="str">
        <f t="shared" si="0"/>
        <v>0x104E</v>
      </c>
      <c r="C41" s="21" t="str">
        <f t="shared" si="1"/>
        <v>bias_ctrl_22</v>
      </c>
      <c r="D41" s="21" t="s">
        <v>344</v>
      </c>
      <c r="E41" s="25" t="s">
        <v>345</v>
      </c>
      <c r="F41" s="21">
        <v>5</v>
      </c>
      <c r="G41" s="21">
        <v>0</v>
      </c>
      <c r="H41" s="21">
        <v>6</v>
      </c>
      <c r="I41" s="21" t="s">
        <v>41</v>
      </c>
      <c r="J41" s="21"/>
      <c r="K41" s="21"/>
      <c r="L41" s="21"/>
    </row>
    <row r="42" spans="1:12" ht="28.5" customHeight="1" x14ac:dyDescent="0.3">
      <c r="A42" s="20">
        <v>4174</v>
      </c>
      <c r="B42" s="20" t="str">
        <f t="shared" si="0"/>
        <v>0x104E</v>
      </c>
      <c r="C42" s="21" t="str">
        <f t="shared" si="1"/>
        <v>bias_ctrl_22</v>
      </c>
      <c r="D42" s="21" t="s">
        <v>346</v>
      </c>
      <c r="E42" s="25" t="s">
        <v>347</v>
      </c>
      <c r="F42" s="21">
        <v>13</v>
      </c>
      <c r="G42" s="21">
        <v>8</v>
      </c>
      <c r="H42" s="21">
        <v>6</v>
      </c>
      <c r="I42" s="21" t="s">
        <v>41</v>
      </c>
      <c r="J42" s="21"/>
      <c r="K42" s="21"/>
      <c r="L42" s="21"/>
    </row>
    <row r="43" spans="1:12" ht="28.5" customHeight="1" x14ac:dyDescent="0.3">
      <c r="A43" s="18">
        <v>4175</v>
      </c>
      <c r="B43" s="18" t="str">
        <f t="shared" si="0"/>
        <v>0x104F</v>
      </c>
      <c r="C43" s="22" t="str">
        <f t="shared" si="1"/>
        <v>bias_ctrl_23</v>
      </c>
      <c r="D43" s="22" t="s">
        <v>348</v>
      </c>
      <c r="E43" s="24" t="s">
        <v>349</v>
      </c>
      <c r="F43" s="22">
        <v>5</v>
      </c>
      <c r="G43" s="22">
        <v>0</v>
      </c>
      <c r="H43" s="22">
        <v>6</v>
      </c>
      <c r="I43" s="22" t="s">
        <v>41</v>
      </c>
      <c r="J43" s="22"/>
      <c r="K43" s="22"/>
      <c r="L43" s="22"/>
    </row>
    <row r="44" spans="1:12" ht="14.25" customHeight="1" x14ac:dyDescent="0.3">
      <c r="A44" s="28">
        <v>4173</v>
      </c>
      <c r="B44" s="28" t="str">
        <f t="shared" si="0"/>
        <v>0x104D</v>
      </c>
      <c r="C44" s="28" t="str">
        <f t="shared" si="1"/>
        <v>bias_ctrl_21</v>
      </c>
      <c r="D44" s="28" t="s">
        <v>350</v>
      </c>
      <c r="E44" s="28" t="s">
        <v>351</v>
      </c>
      <c r="F44" s="28">
        <v>8</v>
      </c>
      <c r="G44" s="28">
        <v>6</v>
      </c>
      <c r="H44" s="28">
        <v>3</v>
      </c>
      <c r="I44" s="28" t="s">
        <v>41</v>
      </c>
      <c r="J44" s="28"/>
      <c r="K44" s="28"/>
      <c r="L44" s="28"/>
    </row>
    <row r="45" spans="1:12" ht="27.75" customHeight="1" x14ac:dyDescent="0.3">
      <c r="A45" s="28">
        <v>4173</v>
      </c>
      <c r="B45" s="28" t="str">
        <f t="shared" si="0"/>
        <v>0x104D</v>
      </c>
      <c r="C45" s="28" t="str">
        <f t="shared" si="1"/>
        <v>bias_ctrl_21</v>
      </c>
      <c r="D45" s="28" t="s">
        <v>352</v>
      </c>
      <c r="E45" s="28" t="s">
        <v>353</v>
      </c>
      <c r="F45" s="28">
        <v>11</v>
      </c>
      <c r="G45" s="28">
        <v>9</v>
      </c>
      <c r="H45" s="28">
        <v>3</v>
      </c>
      <c r="I45" s="28" t="s">
        <v>41</v>
      </c>
      <c r="J45" s="28"/>
      <c r="K45" s="28"/>
      <c r="L45" s="28"/>
    </row>
    <row r="46" spans="1:12" ht="27.75" customHeight="1" x14ac:dyDescent="0.3">
      <c r="A46" s="28">
        <v>4173</v>
      </c>
      <c r="B46" s="28" t="str">
        <f t="shared" si="0"/>
        <v>0x104D</v>
      </c>
      <c r="C46" s="28" t="str">
        <f t="shared" si="1"/>
        <v>bias_ctrl_21</v>
      </c>
      <c r="D46" s="28" t="s">
        <v>354</v>
      </c>
      <c r="E46" s="28" t="s">
        <v>355</v>
      </c>
      <c r="F46" s="28">
        <v>14</v>
      </c>
      <c r="G46" s="28">
        <v>12</v>
      </c>
      <c r="H46" s="28">
        <v>3</v>
      </c>
      <c r="I46" s="28" t="s">
        <v>41</v>
      </c>
      <c r="J46" s="28"/>
      <c r="K46" s="28"/>
      <c r="L46" s="28"/>
    </row>
    <row r="47" spans="1:12" ht="14.25" customHeight="1" x14ac:dyDescent="0.3">
      <c r="A47" s="27">
        <v>4175</v>
      </c>
      <c r="B47" s="27" t="str">
        <f t="shared" si="0"/>
        <v>0x104F</v>
      </c>
      <c r="C47" s="27" t="str">
        <f t="shared" si="1"/>
        <v>bias_ctrl_23</v>
      </c>
      <c r="D47" s="27" t="s">
        <v>356</v>
      </c>
      <c r="E47" s="27" t="s">
        <v>357</v>
      </c>
      <c r="F47" s="27">
        <v>8</v>
      </c>
      <c r="G47" s="27">
        <v>6</v>
      </c>
      <c r="H47" s="27">
        <v>3</v>
      </c>
      <c r="I47" s="27" t="s">
        <v>41</v>
      </c>
      <c r="J47" s="27"/>
      <c r="K47" s="27"/>
      <c r="L47" s="27"/>
    </row>
    <row r="48" spans="1:12" ht="27.75" customHeight="1" x14ac:dyDescent="0.3">
      <c r="A48" s="27">
        <v>4175</v>
      </c>
      <c r="B48" s="27" t="str">
        <f t="shared" si="0"/>
        <v>0x104F</v>
      </c>
      <c r="C48" s="27" t="str">
        <f t="shared" si="1"/>
        <v>bias_ctrl_23</v>
      </c>
      <c r="D48" s="27" t="s">
        <v>358</v>
      </c>
      <c r="E48" s="27" t="s">
        <v>359</v>
      </c>
      <c r="F48" s="27">
        <v>11</v>
      </c>
      <c r="G48" s="27">
        <v>9</v>
      </c>
      <c r="H48" s="27">
        <v>3</v>
      </c>
      <c r="I48" s="27" t="s">
        <v>41</v>
      </c>
      <c r="J48" s="27"/>
      <c r="K48" s="27"/>
      <c r="L48" s="27"/>
    </row>
    <row r="49" spans="1:12" ht="27.75" customHeight="1" x14ac:dyDescent="0.3">
      <c r="A49" s="27">
        <v>4175</v>
      </c>
      <c r="B49" s="27" t="str">
        <f t="shared" si="0"/>
        <v>0x104F</v>
      </c>
      <c r="C49" s="27" t="str">
        <f t="shared" si="1"/>
        <v>bias_ctrl_23</v>
      </c>
      <c r="D49" s="27" t="s">
        <v>360</v>
      </c>
      <c r="E49" s="27" t="s">
        <v>361</v>
      </c>
      <c r="F49" s="27">
        <v>14</v>
      </c>
      <c r="G49" s="27">
        <v>12</v>
      </c>
      <c r="H49" s="27">
        <v>3</v>
      </c>
      <c r="I49" s="27" t="s">
        <v>41</v>
      </c>
      <c r="J49" s="27"/>
      <c r="K49" s="27"/>
      <c r="L49" s="27"/>
    </row>
    <row r="50" spans="1:12" x14ac:dyDescent="0.3">
      <c r="A50" s="30">
        <v>4180</v>
      </c>
      <c r="B50" s="30" t="str">
        <f t="shared" si="0"/>
        <v>0x1054</v>
      </c>
      <c r="C50" s="30" t="str">
        <f t="shared" si="1"/>
        <v>bias_ctrl_28</v>
      </c>
      <c r="D50" s="30" t="s">
        <v>502</v>
      </c>
      <c r="E50" s="30" t="s">
        <v>503</v>
      </c>
      <c r="F50" s="30">
        <v>5</v>
      </c>
      <c r="G50" s="30">
        <v>0</v>
      </c>
      <c r="H50" s="30">
        <v>6</v>
      </c>
      <c r="I50" s="30" t="s">
        <v>25</v>
      </c>
      <c r="J50" s="30"/>
      <c r="K50" s="30"/>
      <c r="L50" s="30"/>
    </row>
    <row r="51" spans="1:12" x14ac:dyDescent="0.3">
      <c r="A51" s="30">
        <v>4180</v>
      </c>
      <c r="B51" s="30" t="str">
        <f t="shared" si="0"/>
        <v>0x1054</v>
      </c>
      <c r="C51" s="30" t="str">
        <f t="shared" si="1"/>
        <v>bias_ctrl_28</v>
      </c>
      <c r="D51" s="30" t="s">
        <v>504</v>
      </c>
      <c r="E51" s="30" t="s">
        <v>503</v>
      </c>
      <c r="F51" s="30">
        <v>13</v>
      </c>
      <c r="G51" s="30">
        <v>8</v>
      </c>
      <c r="H51" s="30">
        <v>6</v>
      </c>
      <c r="I51" s="30" t="s">
        <v>25</v>
      </c>
      <c r="J51" s="30"/>
      <c r="K51" s="30"/>
      <c r="L51" s="30"/>
    </row>
    <row r="52" spans="1:12" x14ac:dyDescent="0.3">
      <c r="A52" s="29">
        <v>4181</v>
      </c>
      <c r="B52" s="29" t="str">
        <f t="shared" si="0"/>
        <v>0x1055</v>
      </c>
      <c r="C52" s="29" t="str">
        <f t="shared" si="1"/>
        <v>bias_ctrl_29</v>
      </c>
      <c r="D52" s="29" t="s">
        <v>505</v>
      </c>
      <c r="E52" s="29" t="s">
        <v>503</v>
      </c>
      <c r="F52" s="29">
        <v>5</v>
      </c>
      <c r="G52" s="29">
        <v>0</v>
      </c>
      <c r="H52" s="29">
        <v>6</v>
      </c>
      <c r="I52" s="29" t="s">
        <v>25</v>
      </c>
      <c r="J52" s="29"/>
      <c r="K52" s="29"/>
      <c r="L52" s="29"/>
    </row>
    <row r="53" spans="1:12" x14ac:dyDescent="0.3">
      <c r="A53" s="29">
        <v>4181</v>
      </c>
      <c r="B53" s="29" t="str">
        <f t="shared" si="0"/>
        <v>0x1055</v>
      </c>
      <c r="C53" s="29" t="str">
        <f t="shared" si="1"/>
        <v>bias_ctrl_29</v>
      </c>
      <c r="D53" s="29" t="s">
        <v>506</v>
      </c>
      <c r="E53" s="29" t="s">
        <v>503</v>
      </c>
      <c r="F53" s="29">
        <v>13</v>
      </c>
      <c r="G53" s="29">
        <v>8</v>
      </c>
      <c r="H53" s="29">
        <v>6</v>
      </c>
      <c r="I53" s="29" t="s">
        <v>25</v>
      </c>
      <c r="J53" s="29"/>
      <c r="K53" s="29"/>
      <c r="L53" s="29"/>
    </row>
    <row r="54" spans="1:12" ht="43.2" x14ac:dyDescent="0.3">
      <c r="A54" s="30">
        <v>4184</v>
      </c>
      <c r="B54" s="30" t="str">
        <f t="shared" si="0"/>
        <v>0x1058</v>
      </c>
      <c r="C54" s="30" t="str">
        <f t="shared" si="1"/>
        <v>bias_ctrl_32</v>
      </c>
      <c r="D54" s="30" t="s">
        <v>507</v>
      </c>
      <c r="E54" s="30" t="s">
        <v>508</v>
      </c>
      <c r="F54" s="30">
        <v>7</v>
      </c>
      <c r="G54" s="30">
        <v>0</v>
      </c>
      <c r="H54" s="30">
        <v>8</v>
      </c>
      <c r="I54" s="30" t="s">
        <v>41</v>
      </c>
      <c r="J54" s="30"/>
      <c r="K54" s="30"/>
      <c r="L54" s="30"/>
    </row>
    <row r="55" spans="1:12" ht="43.2" x14ac:dyDescent="0.3">
      <c r="A55" s="30">
        <v>4184</v>
      </c>
      <c r="B55" s="30" t="str">
        <f t="shared" si="0"/>
        <v>0x1058</v>
      </c>
      <c r="C55" s="30" t="str">
        <f t="shared" si="1"/>
        <v>bias_ctrl_32</v>
      </c>
      <c r="D55" s="30" t="s">
        <v>509</v>
      </c>
      <c r="E55" s="30" t="s">
        <v>510</v>
      </c>
      <c r="F55" s="30">
        <v>15</v>
      </c>
      <c r="G55" s="30">
        <v>8</v>
      </c>
      <c r="H55" s="30">
        <v>8</v>
      </c>
      <c r="I55" s="30" t="s">
        <v>41</v>
      </c>
      <c r="J55" s="30"/>
      <c r="K55" s="30"/>
      <c r="L55" s="30"/>
    </row>
    <row r="56" spans="1:12" ht="43.2" x14ac:dyDescent="0.3">
      <c r="A56" s="29">
        <v>4185</v>
      </c>
      <c r="B56" s="29" t="str">
        <f t="shared" si="0"/>
        <v>0x1059</v>
      </c>
      <c r="C56" s="29" t="str">
        <f t="shared" si="1"/>
        <v>bias_ctrl_33</v>
      </c>
      <c r="D56" s="29" t="s">
        <v>511</v>
      </c>
      <c r="E56" s="29" t="s">
        <v>512</v>
      </c>
      <c r="F56" s="29">
        <v>7</v>
      </c>
      <c r="G56" s="29">
        <v>0</v>
      </c>
      <c r="H56" s="29">
        <v>8</v>
      </c>
      <c r="I56" s="29" t="s">
        <v>41</v>
      </c>
      <c r="J56" s="29"/>
      <c r="K56" s="29"/>
      <c r="L56" s="29"/>
    </row>
    <row r="57" spans="1:12" ht="14.25" customHeight="1" x14ac:dyDescent="0.3">
      <c r="A57" s="4"/>
      <c r="E57" s="26"/>
    </row>
    <row r="58" spans="1:12" ht="14.25" customHeight="1" x14ac:dyDescent="0.3">
      <c r="A58" s="4"/>
      <c r="E58" s="26"/>
    </row>
    <row r="59" spans="1:12" ht="14.25" customHeight="1" x14ac:dyDescent="0.3">
      <c r="A59" s="4"/>
      <c r="E59" s="26"/>
    </row>
    <row r="60" spans="1:12" ht="14.25" customHeight="1" x14ac:dyDescent="0.3">
      <c r="A60" s="4"/>
      <c r="E60" s="26"/>
    </row>
    <row r="61" spans="1:12" ht="14.25" customHeight="1" x14ac:dyDescent="0.3">
      <c r="A61" s="4"/>
      <c r="E61" s="26"/>
    </row>
    <row r="62" spans="1:12" ht="14.25" customHeight="1" x14ac:dyDescent="0.3">
      <c r="A62" s="4"/>
      <c r="E62" s="26"/>
    </row>
    <row r="63" spans="1:12" ht="14.25" customHeight="1" x14ac:dyDescent="0.3">
      <c r="A63" s="4"/>
      <c r="E63" s="26"/>
    </row>
    <row r="64" spans="1:12" ht="14.25" customHeight="1" x14ac:dyDescent="0.3">
      <c r="A64" s="4"/>
      <c r="E64" s="26"/>
    </row>
    <row r="65" spans="1:5" ht="14.25" customHeight="1" x14ac:dyDescent="0.3">
      <c r="A65" s="4"/>
      <c r="E65" s="26"/>
    </row>
    <row r="66" spans="1:5" ht="14.25" customHeight="1" x14ac:dyDescent="0.3">
      <c r="A66" s="4"/>
      <c r="E66" s="26"/>
    </row>
    <row r="67" spans="1:5" ht="14.25" customHeight="1" x14ac:dyDescent="0.3">
      <c r="A67" s="4"/>
      <c r="E67" s="26"/>
    </row>
    <row r="68" spans="1:5" ht="14.25" customHeight="1" x14ac:dyDescent="0.3">
      <c r="A68" s="4"/>
      <c r="E68" s="26"/>
    </row>
    <row r="69" spans="1:5" ht="14.25" customHeight="1" x14ac:dyDescent="0.3">
      <c r="A69" s="4"/>
      <c r="E69" s="26"/>
    </row>
    <row r="70" spans="1:5" ht="14.25" customHeight="1" x14ac:dyDescent="0.3">
      <c r="A70" s="4"/>
      <c r="E70" s="26"/>
    </row>
    <row r="71" spans="1:5" ht="14.25" customHeight="1" x14ac:dyDescent="0.3">
      <c r="A71" s="4"/>
      <c r="E71" s="26"/>
    </row>
    <row r="72" spans="1:5" ht="14.25" customHeight="1" x14ac:dyDescent="0.3">
      <c r="A72" s="4"/>
      <c r="E72" s="26"/>
    </row>
    <row r="73" spans="1:5" ht="14.25" customHeight="1" x14ac:dyDescent="0.3">
      <c r="A73" s="4"/>
      <c r="E73" s="26"/>
    </row>
    <row r="74" spans="1:5" ht="14.25" customHeight="1" x14ac:dyDescent="0.3">
      <c r="A74" s="4"/>
      <c r="E74" s="26"/>
    </row>
    <row r="75" spans="1:5" ht="14.25" customHeight="1" x14ac:dyDescent="0.3">
      <c r="A75" s="4"/>
      <c r="E75" s="26"/>
    </row>
    <row r="76" spans="1:5" ht="14.25" customHeight="1" x14ac:dyDescent="0.3">
      <c r="A76" s="4"/>
      <c r="E76" s="26"/>
    </row>
    <row r="77" spans="1:5" ht="14.25" customHeight="1" x14ac:dyDescent="0.3">
      <c r="A77" s="4"/>
      <c r="E77" s="26"/>
    </row>
    <row r="78" spans="1:5" ht="14.25" customHeight="1" x14ac:dyDescent="0.3">
      <c r="A78" s="4"/>
      <c r="E78" s="26"/>
    </row>
    <row r="79" spans="1:5" ht="14.25" customHeight="1" x14ac:dyDescent="0.3">
      <c r="A79" s="4"/>
      <c r="E79" s="26"/>
    </row>
    <row r="80" spans="1:5" ht="14.25" customHeight="1" x14ac:dyDescent="0.3">
      <c r="A80" s="4"/>
      <c r="E80" s="26"/>
    </row>
    <row r="81" spans="1:5" ht="14.25" customHeight="1" x14ac:dyDescent="0.3">
      <c r="A81" s="4"/>
      <c r="E81" s="26"/>
    </row>
    <row r="82" spans="1:5" ht="14.25" customHeight="1" x14ac:dyDescent="0.3">
      <c r="A82" s="4"/>
      <c r="E82" s="26"/>
    </row>
    <row r="83" spans="1:5" ht="14.25" customHeight="1" x14ac:dyDescent="0.3">
      <c r="A83" s="4"/>
      <c r="E83" s="26"/>
    </row>
    <row r="84" spans="1:5" ht="14.25" customHeight="1" x14ac:dyDescent="0.3">
      <c r="A84" s="4"/>
      <c r="E84" s="26"/>
    </row>
    <row r="85" spans="1:5" ht="14.25" customHeight="1" x14ac:dyDescent="0.3">
      <c r="A85" s="4"/>
      <c r="E85" s="26"/>
    </row>
    <row r="86" spans="1:5" ht="14.25" customHeight="1" x14ac:dyDescent="0.3">
      <c r="A86" s="4"/>
      <c r="E86" s="26"/>
    </row>
    <row r="87" spans="1:5" ht="14.25" customHeight="1" x14ac:dyDescent="0.3">
      <c r="A87" s="4"/>
      <c r="E87" s="26"/>
    </row>
    <row r="88" spans="1:5" ht="14.25" customHeight="1" x14ac:dyDescent="0.3">
      <c r="A88" s="4"/>
      <c r="E88" s="26"/>
    </row>
    <row r="89" spans="1:5" ht="14.25" customHeight="1" x14ac:dyDescent="0.3">
      <c r="A89" s="4"/>
      <c r="E89" s="26"/>
    </row>
    <row r="90" spans="1:5" ht="14.25" customHeight="1" x14ac:dyDescent="0.3">
      <c r="A90" s="4"/>
      <c r="E90" s="26"/>
    </row>
    <row r="91" spans="1:5" ht="14.25" customHeight="1" x14ac:dyDescent="0.3">
      <c r="A91" s="4"/>
      <c r="E91" s="26"/>
    </row>
    <row r="92" spans="1:5" ht="14.25" customHeight="1" x14ac:dyDescent="0.3">
      <c r="A92" s="4"/>
      <c r="E92" s="26"/>
    </row>
    <row r="93" spans="1:5" ht="14.25" customHeight="1" x14ac:dyDescent="0.3">
      <c r="A93" s="4"/>
      <c r="E93" s="26"/>
    </row>
    <row r="94" spans="1:5" ht="14.25" customHeight="1" x14ac:dyDescent="0.3">
      <c r="A94" s="4"/>
      <c r="E94" s="26"/>
    </row>
    <row r="95" spans="1:5" ht="14.25" customHeight="1" x14ac:dyDescent="0.3">
      <c r="A95" s="4"/>
      <c r="E95" s="26"/>
    </row>
    <row r="96" spans="1:5" ht="14.25" customHeight="1" x14ac:dyDescent="0.3">
      <c r="A96" s="4"/>
      <c r="E96" s="26"/>
    </row>
    <row r="97" spans="1:5" ht="14.25" customHeight="1" x14ac:dyDescent="0.3">
      <c r="A97" s="4"/>
      <c r="E97" s="26"/>
    </row>
    <row r="98" spans="1:5" ht="14.25" customHeight="1" x14ac:dyDescent="0.3">
      <c r="A98" s="4"/>
      <c r="E98" s="26"/>
    </row>
    <row r="99" spans="1:5" ht="14.25" customHeight="1" x14ac:dyDescent="0.3">
      <c r="A99" s="4"/>
      <c r="E99" s="26"/>
    </row>
    <row r="100" spans="1:5" ht="14.25" customHeight="1" x14ac:dyDescent="0.3">
      <c r="A100" s="4"/>
      <c r="E100" s="26"/>
    </row>
    <row r="101" spans="1:5" ht="14.25" customHeight="1" x14ac:dyDescent="0.3">
      <c r="A101" s="4"/>
      <c r="E101" s="26"/>
    </row>
    <row r="102" spans="1:5" ht="14.25" customHeight="1" x14ac:dyDescent="0.3">
      <c r="A102" s="4"/>
      <c r="E102" s="26"/>
    </row>
    <row r="103" spans="1:5" ht="14.25" customHeight="1" x14ac:dyDescent="0.3">
      <c r="A103" s="4"/>
      <c r="E103" s="26"/>
    </row>
    <row r="104" spans="1:5" ht="14.25" customHeight="1" x14ac:dyDescent="0.3">
      <c r="A104" s="4"/>
      <c r="E104" s="26"/>
    </row>
    <row r="105" spans="1:5" ht="14.25" customHeight="1" x14ac:dyDescent="0.3">
      <c r="A105" s="4"/>
      <c r="E105" s="26"/>
    </row>
    <row r="106" spans="1:5" ht="14.25" customHeight="1" x14ac:dyDescent="0.3">
      <c r="A106" s="4"/>
      <c r="E106" s="26"/>
    </row>
    <row r="107" spans="1:5" ht="14.25" customHeight="1" x14ac:dyDescent="0.3">
      <c r="A107" s="4"/>
      <c r="E107" s="26"/>
    </row>
    <row r="108" spans="1:5" ht="14.25" customHeight="1" x14ac:dyDescent="0.3">
      <c r="A108" s="4"/>
      <c r="E108" s="26"/>
    </row>
    <row r="109" spans="1:5" ht="14.25" customHeight="1" x14ac:dyDescent="0.3">
      <c r="A109" s="4"/>
      <c r="E109" s="26"/>
    </row>
    <row r="110" spans="1:5" ht="14.25" customHeight="1" x14ac:dyDescent="0.3">
      <c r="A110" s="4"/>
      <c r="E110" s="26"/>
    </row>
    <row r="111" spans="1:5" ht="14.25" customHeight="1" x14ac:dyDescent="0.3">
      <c r="A111" s="4"/>
      <c r="E111" s="26"/>
    </row>
    <row r="112" spans="1:5" ht="14.25" customHeight="1" x14ac:dyDescent="0.3">
      <c r="A112" s="4"/>
      <c r="E112" s="26"/>
    </row>
    <row r="113" spans="1:5" ht="14.25" customHeight="1" x14ac:dyDescent="0.3">
      <c r="A113" s="4"/>
      <c r="E113" s="26"/>
    </row>
    <row r="114" spans="1:5" ht="14.25" customHeight="1" x14ac:dyDescent="0.3">
      <c r="A114" s="4"/>
      <c r="E114" s="26"/>
    </row>
    <row r="115" spans="1:5" ht="14.25" customHeight="1" x14ac:dyDescent="0.3">
      <c r="A115" s="4"/>
      <c r="E115" s="26"/>
    </row>
    <row r="116" spans="1:5" ht="14.25" customHeight="1" x14ac:dyDescent="0.3">
      <c r="A116" s="4"/>
      <c r="E116" s="26"/>
    </row>
    <row r="117" spans="1:5" ht="14.25" customHeight="1" x14ac:dyDescent="0.3">
      <c r="A117" s="4"/>
      <c r="E117" s="26"/>
    </row>
    <row r="118" spans="1:5" ht="14.25" customHeight="1" x14ac:dyDescent="0.3">
      <c r="A118" s="4"/>
      <c r="E118" s="26"/>
    </row>
    <row r="119" spans="1:5" ht="14.25" customHeight="1" x14ac:dyDescent="0.3">
      <c r="A119" s="4"/>
      <c r="E119" s="26"/>
    </row>
    <row r="120" spans="1:5" ht="14.25" customHeight="1" x14ac:dyDescent="0.3">
      <c r="A120" s="4"/>
      <c r="E120" s="26"/>
    </row>
    <row r="121" spans="1:5" ht="14.25" customHeight="1" x14ac:dyDescent="0.3">
      <c r="A121" s="4"/>
      <c r="E121" s="26"/>
    </row>
    <row r="122" spans="1:5" ht="14.25" customHeight="1" x14ac:dyDescent="0.3">
      <c r="A122" s="4"/>
      <c r="E122" s="26"/>
    </row>
    <row r="123" spans="1:5" ht="14.25" customHeight="1" x14ac:dyDescent="0.3">
      <c r="A123" s="4"/>
      <c r="E123" s="26"/>
    </row>
    <row r="124" spans="1:5" ht="14.25" customHeight="1" x14ac:dyDescent="0.3">
      <c r="A124" s="4"/>
      <c r="E124" s="26"/>
    </row>
    <row r="125" spans="1:5" ht="14.25" customHeight="1" x14ac:dyDescent="0.3">
      <c r="A125" s="4"/>
      <c r="E125" s="26"/>
    </row>
    <row r="126" spans="1:5" ht="14.25" customHeight="1" x14ac:dyDescent="0.3">
      <c r="A126" s="4"/>
      <c r="E126" s="26"/>
    </row>
    <row r="127" spans="1:5" ht="14.25" customHeight="1" x14ac:dyDescent="0.3">
      <c r="A127" s="4"/>
      <c r="E127" s="26"/>
    </row>
    <row r="128" spans="1:5" ht="14.25" customHeight="1" x14ac:dyDescent="0.3">
      <c r="A128" s="4"/>
      <c r="E128" s="26"/>
    </row>
    <row r="129" spans="1:5" ht="14.25" customHeight="1" x14ac:dyDescent="0.3">
      <c r="A129" s="4"/>
      <c r="E129" s="26"/>
    </row>
    <row r="130" spans="1:5" ht="14.25" customHeight="1" x14ac:dyDescent="0.3">
      <c r="A130" s="4"/>
      <c r="E130" s="26"/>
    </row>
    <row r="131" spans="1:5" ht="14.25" customHeight="1" x14ac:dyDescent="0.3">
      <c r="A131" s="4"/>
      <c r="E131" s="26"/>
    </row>
    <row r="132" spans="1:5" ht="14.25" customHeight="1" x14ac:dyDescent="0.3">
      <c r="A132" s="4"/>
      <c r="E132" s="26"/>
    </row>
    <row r="133" spans="1:5" ht="14.25" customHeight="1" x14ac:dyDescent="0.3">
      <c r="A133" s="4"/>
      <c r="E133" s="26"/>
    </row>
    <row r="134" spans="1:5" ht="14.25" customHeight="1" x14ac:dyDescent="0.3">
      <c r="A134" s="4"/>
      <c r="E134" s="26"/>
    </row>
    <row r="135" spans="1:5" ht="14.25" customHeight="1" x14ac:dyDescent="0.3">
      <c r="A135" s="4"/>
      <c r="E135" s="26"/>
    </row>
    <row r="136" spans="1:5" ht="14.25" customHeight="1" x14ac:dyDescent="0.3">
      <c r="A136" s="4"/>
      <c r="E136" s="26"/>
    </row>
    <row r="137" spans="1:5" ht="14.25" customHeight="1" x14ac:dyDescent="0.3">
      <c r="A137" s="4"/>
      <c r="E137" s="26"/>
    </row>
    <row r="138" spans="1:5" ht="14.25" customHeight="1" x14ac:dyDescent="0.3">
      <c r="A138" s="4"/>
      <c r="E138" s="26"/>
    </row>
    <row r="139" spans="1:5" ht="14.25" customHeight="1" x14ac:dyDescent="0.3">
      <c r="A139" s="4"/>
      <c r="E139" s="26"/>
    </row>
    <row r="140" spans="1:5" ht="14.25" customHeight="1" x14ac:dyDescent="0.3">
      <c r="A140" s="4"/>
      <c r="E140" s="26"/>
    </row>
    <row r="141" spans="1:5" ht="14.25" customHeight="1" x14ac:dyDescent="0.3">
      <c r="A141" s="4"/>
      <c r="E141" s="26"/>
    </row>
    <row r="142" spans="1:5" ht="14.25" customHeight="1" x14ac:dyDescent="0.3">
      <c r="A142" s="4"/>
      <c r="E142" s="26"/>
    </row>
    <row r="143" spans="1:5" ht="14.25" customHeight="1" x14ac:dyDescent="0.3">
      <c r="A143" s="4"/>
      <c r="E143" s="26"/>
    </row>
    <row r="144" spans="1:5" ht="14.25" customHeight="1" x14ac:dyDescent="0.3">
      <c r="A144" s="4"/>
      <c r="E144" s="26"/>
    </row>
    <row r="145" spans="1:5" ht="14.25" customHeight="1" x14ac:dyDescent="0.3">
      <c r="A145" s="4"/>
      <c r="E145" s="26"/>
    </row>
    <row r="146" spans="1:5" ht="14.25" customHeight="1" x14ac:dyDescent="0.3">
      <c r="A146" s="4"/>
      <c r="E146" s="26"/>
    </row>
    <row r="147" spans="1:5" ht="14.25" customHeight="1" x14ac:dyDescent="0.3">
      <c r="A147" s="4"/>
      <c r="E147" s="26"/>
    </row>
    <row r="148" spans="1:5" ht="14.25" customHeight="1" x14ac:dyDescent="0.3">
      <c r="A148" s="4"/>
      <c r="E148" s="26"/>
    </row>
    <row r="149" spans="1:5" ht="14.25" customHeight="1" x14ac:dyDescent="0.3">
      <c r="A149" s="4"/>
      <c r="E149" s="26"/>
    </row>
    <row r="150" spans="1:5" ht="14.25" customHeight="1" x14ac:dyDescent="0.3">
      <c r="A150" s="4"/>
      <c r="E150" s="26"/>
    </row>
    <row r="151" spans="1:5" ht="14.25" customHeight="1" x14ac:dyDescent="0.3">
      <c r="A151" s="4"/>
      <c r="E151" s="26"/>
    </row>
    <row r="152" spans="1:5" ht="14.25" customHeight="1" x14ac:dyDescent="0.3">
      <c r="A152" s="4"/>
      <c r="E152" s="26"/>
    </row>
    <row r="153" spans="1:5" ht="14.25" customHeight="1" x14ac:dyDescent="0.3">
      <c r="A153" s="4"/>
      <c r="E153" s="26"/>
    </row>
    <row r="154" spans="1:5" ht="14.25" customHeight="1" x14ac:dyDescent="0.3">
      <c r="A154" s="4"/>
      <c r="E154" s="26"/>
    </row>
    <row r="155" spans="1:5" ht="14.25" customHeight="1" x14ac:dyDescent="0.3">
      <c r="A155" s="4"/>
      <c r="E155" s="26"/>
    </row>
    <row r="156" spans="1:5" ht="14.25" customHeight="1" x14ac:dyDescent="0.3">
      <c r="A156" s="4"/>
      <c r="E156" s="26"/>
    </row>
    <row r="157" spans="1:5" ht="14.25" customHeight="1" x14ac:dyDescent="0.3">
      <c r="A157" s="4"/>
      <c r="E157" s="26"/>
    </row>
    <row r="158" spans="1:5" ht="14.25" customHeight="1" x14ac:dyDescent="0.3">
      <c r="A158" s="4"/>
      <c r="E158" s="26"/>
    </row>
    <row r="159" spans="1:5" ht="14.25" customHeight="1" x14ac:dyDescent="0.3">
      <c r="A159" s="4"/>
      <c r="E159" s="26"/>
    </row>
    <row r="160" spans="1:5" ht="14.25" customHeight="1" x14ac:dyDescent="0.3">
      <c r="A160" s="4"/>
      <c r="E160" s="26"/>
    </row>
    <row r="161" spans="1:5" ht="14.25" customHeight="1" x14ac:dyDescent="0.3">
      <c r="A161" s="4"/>
      <c r="E161" s="26"/>
    </row>
    <row r="162" spans="1:5" ht="14.25" customHeight="1" x14ac:dyDescent="0.3">
      <c r="A162" s="4"/>
      <c r="E162" s="26"/>
    </row>
    <row r="163" spans="1:5" ht="14.25" customHeight="1" x14ac:dyDescent="0.3">
      <c r="A163" s="4"/>
      <c r="E163" s="26"/>
    </row>
    <row r="164" spans="1:5" ht="14.25" customHeight="1" x14ac:dyDescent="0.3">
      <c r="A164" s="4"/>
      <c r="E164" s="26"/>
    </row>
    <row r="165" spans="1:5" ht="14.25" customHeight="1" x14ac:dyDescent="0.3">
      <c r="A165" s="4"/>
      <c r="E165" s="26"/>
    </row>
    <row r="166" spans="1:5" ht="14.25" customHeight="1" x14ac:dyDescent="0.3">
      <c r="E166" s="26"/>
    </row>
    <row r="167" spans="1:5" ht="14.25" customHeight="1" x14ac:dyDescent="0.3">
      <c r="E167" s="26"/>
    </row>
    <row r="168" spans="1:5" ht="14.25" customHeight="1" x14ac:dyDescent="0.3">
      <c r="E168" s="26"/>
    </row>
    <row r="169" spans="1:5" ht="14.25" customHeight="1" x14ac:dyDescent="0.3">
      <c r="E169" s="26"/>
    </row>
    <row r="170" spans="1:5" ht="14.25" customHeight="1" x14ac:dyDescent="0.3">
      <c r="E170" s="26"/>
    </row>
    <row r="171" spans="1:5" ht="14.25" customHeight="1" x14ac:dyDescent="0.3">
      <c r="E171" s="26"/>
    </row>
    <row r="172" spans="1:5" ht="14.25" customHeight="1" x14ac:dyDescent="0.3">
      <c r="E172" s="26"/>
    </row>
    <row r="173" spans="1:5" ht="14.25" customHeight="1" x14ac:dyDescent="0.3">
      <c r="E173" s="26"/>
    </row>
    <row r="174" spans="1:5" ht="14.25" customHeight="1" x14ac:dyDescent="0.3">
      <c r="E174" s="26"/>
    </row>
    <row r="175" spans="1:5" ht="14.25" customHeight="1" x14ac:dyDescent="0.3">
      <c r="E175" s="26"/>
    </row>
    <row r="176" spans="1:5" ht="14.25" customHeight="1" x14ac:dyDescent="0.3">
      <c r="E176" s="26"/>
    </row>
    <row r="177" spans="5:5" ht="14.25" customHeight="1" x14ac:dyDescent="0.3">
      <c r="E177" s="26"/>
    </row>
    <row r="178" spans="5:5" ht="14.25" customHeight="1" x14ac:dyDescent="0.3">
      <c r="E178" s="26"/>
    </row>
    <row r="179" spans="5:5" ht="14.25" customHeight="1" x14ac:dyDescent="0.3">
      <c r="E179" s="26"/>
    </row>
    <row r="180" spans="5:5" ht="14.25" customHeight="1" x14ac:dyDescent="0.3">
      <c r="E180" s="26"/>
    </row>
    <row r="181" spans="5:5" ht="14.25" customHeight="1" x14ac:dyDescent="0.3">
      <c r="E181" s="26"/>
    </row>
    <row r="182" spans="5:5" ht="14.25" customHeight="1" x14ac:dyDescent="0.3">
      <c r="E182" s="26"/>
    </row>
    <row r="183" spans="5:5" ht="14.25" customHeight="1" x14ac:dyDescent="0.3">
      <c r="E183" s="26"/>
    </row>
    <row r="184" spans="5:5" ht="14.25" customHeight="1" x14ac:dyDescent="0.3">
      <c r="E184" s="26"/>
    </row>
    <row r="185" spans="5:5" ht="14.25" customHeight="1" x14ac:dyDescent="0.3">
      <c r="E185" s="26"/>
    </row>
    <row r="186" spans="5:5" ht="14.25" customHeight="1" x14ac:dyDescent="0.3">
      <c r="E186" s="26"/>
    </row>
    <row r="187" spans="5:5" ht="14.25" customHeight="1" x14ac:dyDescent="0.3">
      <c r="E187" s="26"/>
    </row>
    <row r="188" spans="5:5" ht="14.25" customHeight="1" x14ac:dyDescent="0.3">
      <c r="E188" s="26"/>
    </row>
    <row r="189" spans="5:5" ht="14.25" customHeight="1" x14ac:dyDescent="0.3">
      <c r="E189" s="26"/>
    </row>
    <row r="190" spans="5:5" ht="14.25" customHeight="1" x14ac:dyDescent="0.3">
      <c r="E190" s="26"/>
    </row>
    <row r="191" spans="5:5" ht="14.25" customHeight="1" x14ac:dyDescent="0.3">
      <c r="E191" s="26"/>
    </row>
    <row r="192" spans="5:5" ht="14.25" customHeight="1" x14ac:dyDescent="0.3">
      <c r="E192" s="26"/>
    </row>
    <row r="193" spans="5:5" ht="14.25" customHeight="1" x14ac:dyDescent="0.3">
      <c r="E193" s="26"/>
    </row>
    <row r="194" spans="5:5" ht="14.25" customHeight="1" x14ac:dyDescent="0.3">
      <c r="E194" s="26"/>
    </row>
    <row r="195" spans="5:5" ht="14.25" customHeight="1" x14ac:dyDescent="0.3">
      <c r="E195" s="26"/>
    </row>
    <row r="196" spans="5:5" ht="14.25" customHeight="1" x14ac:dyDescent="0.3">
      <c r="E196" s="26"/>
    </row>
    <row r="197" spans="5:5" ht="14.25" customHeight="1" x14ac:dyDescent="0.3">
      <c r="E197" s="26"/>
    </row>
    <row r="198" spans="5:5" ht="14.25" customHeight="1" x14ac:dyDescent="0.3">
      <c r="E198" s="26"/>
    </row>
    <row r="199" spans="5:5" ht="14.25" customHeight="1" x14ac:dyDescent="0.3">
      <c r="E199" s="26"/>
    </row>
    <row r="200" spans="5:5" ht="14.25" customHeight="1" x14ac:dyDescent="0.3">
      <c r="E200" s="26"/>
    </row>
    <row r="201" spans="5:5" ht="14.25" customHeight="1" x14ac:dyDescent="0.3">
      <c r="E201" s="26"/>
    </row>
    <row r="202" spans="5:5" ht="14.25" customHeight="1" x14ac:dyDescent="0.3">
      <c r="E202" s="26"/>
    </row>
    <row r="203" spans="5:5" ht="14.25" customHeight="1" x14ac:dyDescent="0.3">
      <c r="E203" s="26"/>
    </row>
    <row r="204" spans="5:5" ht="14.25" customHeight="1" x14ac:dyDescent="0.3">
      <c r="E204" s="26"/>
    </row>
    <row r="205" spans="5:5" ht="14.25" customHeight="1" x14ac:dyDescent="0.3">
      <c r="E205" s="26"/>
    </row>
    <row r="206" spans="5:5" ht="14.25" customHeight="1" x14ac:dyDescent="0.3">
      <c r="E206" s="26"/>
    </row>
    <row r="207" spans="5:5" ht="14.25" customHeight="1" x14ac:dyDescent="0.3">
      <c r="E207" s="26"/>
    </row>
    <row r="208" spans="5:5" ht="14.25" customHeight="1" x14ac:dyDescent="0.3">
      <c r="E208" s="26"/>
    </row>
    <row r="209" spans="5:5" ht="14.25" customHeight="1" x14ac:dyDescent="0.3">
      <c r="E209" s="26"/>
    </row>
    <row r="210" spans="5:5" ht="14.25" customHeight="1" x14ac:dyDescent="0.3">
      <c r="E210" s="26"/>
    </row>
    <row r="211" spans="5:5" ht="14.25" customHeight="1" x14ac:dyDescent="0.3">
      <c r="E211" s="26"/>
    </row>
    <row r="212" spans="5:5" ht="14.25" customHeight="1" x14ac:dyDescent="0.3">
      <c r="E212" s="26"/>
    </row>
    <row r="213" spans="5:5" ht="14.25" customHeight="1" x14ac:dyDescent="0.3">
      <c r="E213" s="26"/>
    </row>
    <row r="214" spans="5:5" ht="14.25" customHeight="1" x14ac:dyDescent="0.3">
      <c r="E214" s="26"/>
    </row>
    <row r="215" spans="5:5" ht="14.25" customHeight="1" x14ac:dyDescent="0.3">
      <c r="E215" s="26"/>
    </row>
    <row r="216" spans="5:5" ht="14.25" customHeight="1" x14ac:dyDescent="0.3">
      <c r="E216" s="26"/>
    </row>
    <row r="217" spans="5:5" ht="14.25" customHeight="1" x14ac:dyDescent="0.3">
      <c r="E217" s="26"/>
    </row>
    <row r="218" spans="5:5" ht="14.25" customHeight="1" x14ac:dyDescent="0.3">
      <c r="E218" s="26"/>
    </row>
    <row r="219" spans="5:5" ht="14.25" customHeight="1" x14ac:dyDescent="0.3">
      <c r="E219" s="26"/>
    </row>
    <row r="220" spans="5:5" ht="14.25" customHeight="1" x14ac:dyDescent="0.3">
      <c r="E220" s="26"/>
    </row>
    <row r="221" spans="5:5" ht="14.25" customHeight="1" x14ac:dyDescent="0.3">
      <c r="E221" s="26"/>
    </row>
    <row r="222" spans="5:5" ht="14.25" customHeight="1" x14ac:dyDescent="0.3">
      <c r="E222" s="26"/>
    </row>
    <row r="223" spans="5:5" ht="14.25" customHeight="1" x14ac:dyDescent="0.3">
      <c r="E223" s="26"/>
    </row>
    <row r="224" spans="5:5" ht="14.25" customHeight="1" x14ac:dyDescent="0.3">
      <c r="E224" s="26"/>
    </row>
    <row r="225" spans="5:5" ht="14.25" customHeight="1" x14ac:dyDescent="0.3">
      <c r="E225" s="26"/>
    </row>
    <row r="226" spans="5:5" ht="14.25" customHeight="1" x14ac:dyDescent="0.3">
      <c r="E226" s="26"/>
    </row>
    <row r="227" spans="5:5" ht="14.25" customHeight="1" x14ac:dyDescent="0.3">
      <c r="E227" s="26"/>
    </row>
    <row r="228" spans="5:5" ht="14.25" customHeight="1" x14ac:dyDescent="0.3">
      <c r="E228" s="26"/>
    </row>
    <row r="229" spans="5:5" ht="14.25" customHeight="1" x14ac:dyDescent="0.3">
      <c r="E229" s="26"/>
    </row>
    <row r="230" spans="5:5" ht="14.25" customHeight="1" x14ac:dyDescent="0.3">
      <c r="E230" s="26"/>
    </row>
    <row r="231" spans="5:5" ht="14.25" customHeight="1" x14ac:dyDescent="0.3">
      <c r="E231" s="26"/>
    </row>
    <row r="232" spans="5:5" ht="14.25" customHeight="1" x14ac:dyDescent="0.3">
      <c r="E232" s="26"/>
    </row>
    <row r="233" spans="5:5" ht="14.25" customHeight="1" x14ac:dyDescent="0.3">
      <c r="E233" s="26"/>
    </row>
    <row r="234" spans="5:5" ht="14.25" customHeight="1" x14ac:dyDescent="0.3">
      <c r="E234" s="26"/>
    </row>
    <row r="235" spans="5:5" ht="14.25" customHeight="1" x14ac:dyDescent="0.3">
      <c r="E235" s="26"/>
    </row>
    <row r="236" spans="5:5" ht="14.25" customHeight="1" x14ac:dyDescent="0.3">
      <c r="E236" s="26"/>
    </row>
    <row r="237" spans="5:5" ht="14.25" customHeight="1" x14ac:dyDescent="0.3">
      <c r="E237" s="26"/>
    </row>
    <row r="238" spans="5:5" ht="14.25" customHeight="1" x14ac:dyDescent="0.3">
      <c r="E238" s="26"/>
    </row>
    <row r="239" spans="5:5" ht="14.25" customHeight="1" x14ac:dyDescent="0.3">
      <c r="E239" s="26"/>
    </row>
    <row r="240" spans="5:5" ht="14.25" customHeight="1" x14ac:dyDescent="0.3">
      <c r="E240" s="26"/>
    </row>
    <row r="241" spans="5:5" ht="14.25" customHeight="1" x14ac:dyDescent="0.3">
      <c r="E241" s="26"/>
    </row>
    <row r="242" spans="5:5" ht="14.25" customHeight="1" x14ac:dyDescent="0.3">
      <c r="E242" s="26"/>
    </row>
    <row r="243" spans="5:5" ht="14.25" customHeight="1" x14ac:dyDescent="0.3">
      <c r="E243" s="26"/>
    </row>
    <row r="244" spans="5:5" ht="14.25" customHeight="1" x14ac:dyDescent="0.3">
      <c r="E244" s="26"/>
    </row>
    <row r="245" spans="5:5" ht="14.25" customHeight="1" x14ac:dyDescent="0.3">
      <c r="E245" s="26"/>
    </row>
    <row r="246" spans="5:5" ht="14.25" customHeight="1" x14ac:dyDescent="0.3">
      <c r="E246" s="26"/>
    </row>
    <row r="247" spans="5:5" ht="14.25" customHeight="1" x14ac:dyDescent="0.3">
      <c r="E247" s="26"/>
    </row>
    <row r="248" spans="5:5" ht="14.25" customHeight="1" x14ac:dyDescent="0.3">
      <c r="E248" s="26"/>
    </row>
    <row r="249" spans="5:5" ht="14.25" customHeight="1" x14ac:dyDescent="0.3">
      <c r="E249" s="26"/>
    </row>
    <row r="250" spans="5:5" ht="14.25" customHeight="1" x14ac:dyDescent="0.3">
      <c r="E250" s="26"/>
    </row>
    <row r="251" spans="5:5" ht="14.25" customHeight="1" x14ac:dyDescent="0.3">
      <c r="E251" s="26"/>
    </row>
    <row r="252" spans="5:5" ht="14.25" customHeight="1" x14ac:dyDescent="0.3">
      <c r="E252" s="26"/>
    </row>
    <row r="253" spans="5:5" ht="14.25" customHeight="1" x14ac:dyDescent="0.3">
      <c r="E253" s="26"/>
    </row>
    <row r="254" spans="5:5" ht="14.25" customHeight="1" x14ac:dyDescent="0.3">
      <c r="E254" s="26"/>
    </row>
    <row r="255" spans="5:5" ht="14.25" customHeight="1" x14ac:dyDescent="0.3">
      <c r="E255" s="26"/>
    </row>
    <row r="256" spans="5:5" ht="14.25" customHeight="1" x14ac:dyDescent="0.3">
      <c r="E256" s="26"/>
    </row>
    <row r="257" spans="5:5" ht="14.25" customHeight="1" x14ac:dyDescent="0.3">
      <c r="E257" s="26"/>
    </row>
    <row r="258" spans="5:5" ht="14.25" customHeight="1" x14ac:dyDescent="0.3">
      <c r="E258" s="26"/>
    </row>
    <row r="259" spans="5:5" ht="14.25" customHeight="1" x14ac:dyDescent="0.3">
      <c r="E259" s="26"/>
    </row>
    <row r="260" spans="5:5" ht="14.25" customHeight="1" x14ac:dyDescent="0.3">
      <c r="E260" s="26"/>
    </row>
    <row r="261" spans="5:5" ht="14.25" customHeight="1" x14ac:dyDescent="0.3">
      <c r="E261" s="26"/>
    </row>
    <row r="262" spans="5:5" ht="14.25" customHeight="1" x14ac:dyDescent="0.3">
      <c r="E262" s="26"/>
    </row>
    <row r="263" spans="5:5" ht="14.25" customHeight="1" x14ac:dyDescent="0.3">
      <c r="E263" s="26"/>
    </row>
    <row r="264" spans="5:5" ht="14.25" customHeight="1" x14ac:dyDescent="0.3">
      <c r="E264" s="26"/>
    </row>
    <row r="265" spans="5:5" ht="14.25" customHeight="1" x14ac:dyDescent="0.3">
      <c r="E265" s="26"/>
    </row>
    <row r="266" spans="5:5" ht="14.25" customHeight="1" x14ac:dyDescent="0.3">
      <c r="E266" s="26"/>
    </row>
    <row r="267" spans="5:5" ht="14.25" customHeight="1" x14ac:dyDescent="0.3">
      <c r="E267" s="26"/>
    </row>
    <row r="268" spans="5:5" ht="14.25" customHeight="1" x14ac:dyDescent="0.3">
      <c r="E268" s="26"/>
    </row>
    <row r="269" spans="5:5" ht="14.25" customHeight="1" x14ac:dyDescent="0.3">
      <c r="E269" s="26"/>
    </row>
    <row r="270" spans="5:5" ht="14.25" customHeight="1" x14ac:dyDescent="0.3">
      <c r="E270" s="26"/>
    </row>
    <row r="271" spans="5:5" ht="14.25" customHeight="1" x14ac:dyDescent="0.3">
      <c r="E271" s="26"/>
    </row>
    <row r="272" spans="5:5" ht="14.25" customHeight="1" x14ac:dyDescent="0.3">
      <c r="E272" s="26"/>
    </row>
    <row r="273" spans="5:5" ht="14.25" customHeight="1" x14ac:dyDescent="0.3">
      <c r="E273" s="26"/>
    </row>
    <row r="274" spans="5:5" ht="14.25" customHeight="1" x14ac:dyDescent="0.3">
      <c r="E274" s="26"/>
    </row>
    <row r="275" spans="5:5" ht="14.25" customHeight="1" x14ac:dyDescent="0.3">
      <c r="E275" s="26"/>
    </row>
    <row r="276" spans="5:5" ht="14.25" customHeight="1" x14ac:dyDescent="0.3">
      <c r="E276" s="26"/>
    </row>
    <row r="277" spans="5:5" ht="14.25" customHeight="1" x14ac:dyDescent="0.3">
      <c r="E277" s="26"/>
    </row>
    <row r="278" spans="5:5" ht="14.25" customHeight="1" x14ac:dyDescent="0.3">
      <c r="E278" s="26"/>
    </row>
    <row r="279" spans="5:5" ht="14.25" customHeight="1" x14ac:dyDescent="0.3">
      <c r="E279" s="26"/>
    </row>
    <row r="280" spans="5:5" ht="14.25" customHeight="1" x14ac:dyDescent="0.3">
      <c r="E280" s="26"/>
    </row>
    <row r="281" spans="5:5" ht="14.25" customHeight="1" x14ac:dyDescent="0.3">
      <c r="E281" s="26"/>
    </row>
    <row r="282" spans="5:5" ht="14.25" customHeight="1" x14ac:dyDescent="0.3">
      <c r="E282" s="26"/>
    </row>
    <row r="283" spans="5:5" ht="14.25" customHeight="1" x14ac:dyDescent="0.3">
      <c r="E283" s="26"/>
    </row>
    <row r="284" spans="5:5" ht="14.25" customHeight="1" x14ac:dyDescent="0.3">
      <c r="E284" s="26"/>
    </row>
    <row r="285" spans="5:5" ht="14.25" customHeight="1" x14ac:dyDescent="0.3">
      <c r="E285" s="2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4"/>
  <sheetViews>
    <sheetView topLeftCell="A35" zoomScaleNormal="100" workbookViewId="0">
      <selection activeCell="M12" sqref="M12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</cols>
  <sheetData>
    <row r="1" spans="1:12" ht="15" customHeight="1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  <c r="F1" s="4"/>
      <c r="G1" s="4"/>
      <c r="H1" s="4"/>
      <c r="I1" s="4"/>
      <c r="J1" s="4"/>
      <c r="K1" s="4"/>
      <c r="L1" s="4"/>
    </row>
    <row r="2" spans="1:12" ht="15" customHeight="1" x14ac:dyDescent="0.3">
      <c r="A2" s="9" t="s">
        <v>9</v>
      </c>
      <c r="B2" s="4"/>
      <c r="C2" s="10">
        <f>Setup!B2</f>
        <v>46161</v>
      </c>
      <c r="D2" s="10" t="str">
        <f>Setup!C2</f>
        <v>PA3</v>
      </c>
      <c r="E2" s="5" t="s">
        <v>10</v>
      </c>
      <c r="F2" s="4"/>
      <c r="G2" s="4"/>
      <c r="H2" s="4"/>
      <c r="I2" s="4"/>
      <c r="J2" s="4"/>
      <c r="K2" s="4"/>
      <c r="L2" s="4"/>
    </row>
    <row r="3" spans="1:12" ht="15" customHeight="1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3" t="s">
        <v>21</v>
      </c>
      <c r="L3" s="13" t="s">
        <v>22</v>
      </c>
    </row>
    <row r="4" spans="1:12" ht="15" customHeight="1" x14ac:dyDescent="0.3">
      <c r="A4" s="14"/>
      <c r="B4" s="14"/>
      <c r="C4" s="14"/>
      <c r="D4" s="15"/>
      <c r="E4" s="16"/>
      <c r="F4" s="14"/>
      <c r="G4" s="14"/>
      <c r="H4" s="14"/>
      <c r="I4" s="17"/>
      <c r="J4" s="14"/>
      <c r="K4" s="14"/>
      <c r="L4" s="14"/>
    </row>
    <row r="5" spans="1:12" s="26" customFormat="1" x14ac:dyDescent="0.3">
      <c r="A5" s="29">
        <v>4124</v>
      </c>
      <c r="B5" s="29" t="str">
        <f t="shared" ref="B5:B36" si="0">_xlfn.CONCAT("0x",DEC2HEX(A5,4))</f>
        <v>0x101C</v>
      </c>
      <c r="C5" s="29" t="s">
        <v>362</v>
      </c>
      <c r="D5" s="29" t="s">
        <v>363</v>
      </c>
      <c r="E5" s="29" t="s">
        <v>364</v>
      </c>
      <c r="F5" s="29">
        <v>0</v>
      </c>
      <c r="G5" s="29">
        <v>0</v>
      </c>
      <c r="H5" s="29">
        <v>1</v>
      </c>
      <c r="I5" s="29" t="s">
        <v>41</v>
      </c>
      <c r="J5" s="29"/>
      <c r="K5" s="29"/>
      <c r="L5" s="29"/>
    </row>
    <row r="6" spans="1:12" s="26" customFormat="1" x14ac:dyDescent="0.3">
      <c r="A6" s="29">
        <v>4124</v>
      </c>
      <c r="B6" s="29" t="str">
        <f t="shared" si="0"/>
        <v>0x101C</v>
      </c>
      <c r="C6" s="29" t="s">
        <v>362</v>
      </c>
      <c r="D6" s="29" t="s">
        <v>365</v>
      </c>
      <c r="E6" s="29" t="s">
        <v>366</v>
      </c>
      <c r="F6" s="29">
        <v>1</v>
      </c>
      <c r="G6" s="29">
        <v>1</v>
      </c>
      <c r="H6" s="29">
        <v>1</v>
      </c>
      <c r="I6" s="29" t="s">
        <v>41</v>
      </c>
      <c r="J6" s="29"/>
      <c r="K6" s="29"/>
      <c r="L6" s="29"/>
    </row>
    <row r="7" spans="1:12" s="26" customFormat="1" x14ac:dyDescent="0.3">
      <c r="A7" s="29">
        <v>4124</v>
      </c>
      <c r="B7" s="29" t="str">
        <f t="shared" si="0"/>
        <v>0x101C</v>
      </c>
      <c r="C7" s="29" t="s">
        <v>362</v>
      </c>
      <c r="D7" s="29" t="s">
        <v>367</v>
      </c>
      <c r="E7" s="29" t="s">
        <v>368</v>
      </c>
      <c r="F7" s="29">
        <v>2</v>
      </c>
      <c r="G7" s="29">
        <v>2</v>
      </c>
      <c r="H7" s="29">
        <v>1</v>
      </c>
      <c r="I7" s="29" t="s">
        <v>41</v>
      </c>
      <c r="J7" s="29"/>
      <c r="K7" s="29"/>
      <c r="L7" s="29"/>
    </row>
    <row r="8" spans="1:12" s="26" customFormat="1" x14ac:dyDescent="0.3">
      <c r="A8" s="29">
        <v>4124</v>
      </c>
      <c r="B8" s="29" t="str">
        <f t="shared" si="0"/>
        <v>0x101C</v>
      </c>
      <c r="C8" s="29" t="s">
        <v>362</v>
      </c>
      <c r="D8" s="29" t="s">
        <v>369</v>
      </c>
      <c r="E8" s="29" t="s">
        <v>370</v>
      </c>
      <c r="F8" s="29">
        <v>3</v>
      </c>
      <c r="G8" s="29">
        <v>3</v>
      </c>
      <c r="H8" s="29">
        <v>1</v>
      </c>
      <c r="I8" s="29" t="s">
        <v>41</v>
      </c>
      <c r="J8" s="29"/>
      <c r="K8" s="29"/>
      <c r="L8" s="29"/>
    </row>
    <row r="9" spans="1:12" s="26" customFormat="1" ht="28.8" x14ac:dyDescent="0.3">
      <c r="A9" s="29">
        <v>4124</v>
      </c>
      <c r="B9" s="29" t="str">
        <f t="shared" si="0"/>
        <v>0x101C</v>
      </c>
      <c r="C9" s="29" t="s">
        <v>362</v>
      </c>
      <c r="D9" s="29" t="s">
        <v>371</v>
      </c>
      <c r="E9" s="29" t="s">
        <v>372</v>
      </c>
      <c r="F9" s="29">
        <v>7</v>
      </c>
      <c r="G9" s="29">
        <v>4</v>
      </c>
      <c r="H9" s="29">
        <v>4</v>
      </c>
      <c r="I9" s="29" t="s">
        <v>41</v>
      </c>
      <c r="J9" s="29"/>
      <c r="K9" s="29"/>
      <c r="L9" s="29"/>
    </row>
    <row r="10" spans="1:12" s="26" customFormat="1" x14ac:dyDescent="0.3">
      <c r="A10" s="30">
        <v>4125</v>
      </c>
      <c r="B10" s="30" t="str">
        <f t="shared" si="0"/>
        <v>0x101D</v>
      </c>
      <c r="C10" s="30" t="s">
        <v>373</v>
      </c>
      <c r="D10" s="30" t="s">
        <v>374</v>
      </c>
      <c r="E10" s="30" t="s">
        <v>375</v>
      </c>
      <c r="F10" s="30">
        <v>0</v>
      </c>
      <c r="G10" s="30">
        <v>0</v>
      </c>
      <c r="H10" s="30">
        <v>1</v>
      </c>
      <c r="I10" s="30" t="s">
        <v>41</v>
      </c>
      <c r="J10" s="30"/>
      <c r="K10" s="30"/>
      <c r="L10" s="30"/>
    </row>
    <row r="11" spans="1:12" s="26" customFormat="1" x14ac:dyDescent="0.3">
      <c r="A11" s="30">
        <v>4125</v>
      </c>
      <c r="B11" s="30" t="str">
        <f t="shared" si="0"/>
        <v>0x101D</v>
      </c>
      <c r="C11" s="30" t="s">
        <v>373</v>
      </c>
      <c r="D11" s="30" t="s">
        <v>376</v>
      </c>
      <c r="E11" s="30" t="s">
        <v>377</v>
      </c>
      <c r="F11" s="30">
        <v>1</v>
      </c>
      <c r="G11" s="30">
        <v>1</v>
      </c>
      <c r="H11" s="30">
        <v>1</v>
      </c>
      <c r="I11" s="30" t="s">
        <v>41</v>
      </c>
      <c r="J11" s="30"/>
      <c r="K11" s="30"/>
      <c r="L11" s="30"/>
    </row>
    <row r="12" spans="1:12" s="26" customFormat="1" x14ac:dyDescent="0.3">
      <c r="A12" s="30">
        <v>4125</v>
      </c>
      <c r="B12" s="30" t="str">
        <f t="shared" si="0"/>
        <v>0x101D</v>
      </c>
      <c r="C12" s="30" t="s">
        <v>373</v>
      </c>
      <c r="D12" s="30" t="s">
        <v>378</v>
      </c>
      <c r="E12" s="30" t="s">
        <v>379</v>
      </c>
      <c r="F12" s="30">
        <v>2</v>
      </c>
      <c r="G12" s="30">
        <v>2</v>
      </c>
      <c r="H12" s="30">
        <v>1</v>
      </c>
      <c r="I12" s="30" t="s">
        <v>41</v>
      </c>
      <c r="J12" s="30"/>
      <c r="K12" s="30"/>
      <c r="L12" s="30"/>
    </row>
    <row r="13" spans="1:12" s="26" customFormat="1" x14ac:dyDescent="0.3">
      <c r="A13" s="30">
        <v>4125</v>
      </c>
      <c r="B13" s="30" t="str">
        <f t="shared" si="0"/>
        <v>0x101D</v>
      </c>
      <c r="C13" s="30" t="s">
        <v>373</v>
      </c>
      <c r="D13" s="30" t="s">
        <v>380</v>
      </c>
      <c r="E13" s="30" t="s">
        <v>381</v>
      </c>
      <c r="F13" s="30">
        <v>3</v>
      </c>
      <c r="G13" s="30">
        <v>3</v>
      </c>
      <c r="H13" s="30">
        <v>1</v>
      </c>
      <c r="I13" s="30" t="s">
        <v>41</v>
      </c>
      <c r="J13" s="30"/>
      <c r="K13" s="30"/>
      <c r="L13" s="30"/>
    </row>
    <row r="14" spans="1:12" s="26" customFormat="1" ht="28.8" x14ac:dyDescent="0.3">
      <c r="A14" s="30">
        <v>4125</v>
      </c>
      <c r="B14" s="30" t="str">
        <f t="shared" si="0"/>
        <v>0x101D</v>
      </c>
      <c r="C14" s="30" t="s">
        <v>373</v>
      </c>
      <c r="D14" s="30" t="s">
        <v>382</v>
      </c>
      <c r="E14" s="30" t="s">
        <v>383</v>
      </c>
      <c r="F14" s="30">
        <v>7</v>
      </c>
      <c r="G14" s="30">
        <v>4</v>
      </c>
      <c r="H14" s="30">
        <v>4</v>
      </c>
      <c r="I14" s="30" t="s">
        <v>41</v>
      </c>
      <c r="J14" s="30"/>
      <c r="K14" s="30"/>
      <c r="L14" s="30"/>
    </row>
    <row r="15" spans="1:12" s="26" customFormat="1" x14ac:dyDescent="0.3">
      <c r="A15" s="29">
        <v>4126</v>
      </c>
      <c r="B15" s="29" t="str">
        <f t="shared" si="0"/>
        <v>0x101E</v>
      </c>
      <c r="C15" s="29" t="s">
        <v>384</v>
      </c>
      <c r="D15" s="29" t="s">
        <v>385</v>
      </c>
      <c r="E15" s="29" t="s">
        <v>386</v>
      </c>
      <c r="F15" s="29">
        <v>0</v>
      </c>
      <c r="G15" s="29">
        <v>0</v>
      </c>
      <c r="H15" s="29">
        <v>1</v>
      </c>
      <c r="I15" s="29" t="s">
        <v>41</v>
      </c>
      <c r="J15" s="29"/>
      <c r="K15" s="29"/>
      <c r="L15" s="29"/>
    </row>
    <row r="16" spans="1:12" s="26" customFormat="1" x14ac:dyDescent="0.3">
      <c r="A16" s="29">
        <v>4126</v>
      </c>
      <c r="B16" s="29" t="str">
        <f t="shared" si="0"/>
        <v>0x101E</v>
      </c>
      <c r="C16" s="29" t="s">
        <v>384</v>
      </c>
      <c r="D16" s="29" t="s">
        <v>387</v>
      </c>
      <c r="E16" s="29" t="s">
        <v>388</v>
      </c>
      <c r="F16" s="29">
        <v>1</v>
      </c>
      <c r="G16" s="29">
        <v>1</v>
      </c>
      <c r="H16" s="29">
        <v>1</v>
      </c>
      <c r="I16" s="29" t="s">
        <v>41</v>
      </c>
      <c r="J16" s="29"/>
      <c r="K16" s="29"/>
      <c r="L16" s="29"/>
    </row>
    <row r="17" spans="1:12" s="26" customFormat="1" x14ac:dyDescent="0.3">
      <c r="A17" s="29">
        <v>4126</v>
      </c>
      <c r="B17" s="29" t="str">
        <f t="shared" si="0"/>
        <v>0x101E</v>
      </c>
      <c r="C17" s="29" t="s">
        <v>384</v>
      </c>
      <c r="D17" s="29" t="s">
        <v>389</v>
      </c>
      <c r="E17" s="29" t="s">
        <v>390</v>
      </c>
      <c r="F17" s="29">
        <v>2</v>
      </c>
      <c r="G17" s="29">
        <v>2</v>
      </c>
      <c r="H17" s="29">
        <v>1</v>
      </c>
      <c r="I17" s="29" t="s">
        <v>41</v>
      </c>
      <c r="J17" s="29"/>
      <c r="K17" s="29"/>
      <c r="L17" s="29"/>
    </row>
    <row r="18" spans="1:12" s="26" customFormat="1" x14ac:dyDescent="0.3">
      <c r="A18" s="29">
        <v>4126</v>
      </c>
      <c r="B18" s="29" t="str">
        <f t="shared" si="0"/>
        <v>0x101E</v>
      </c>
      <c r="C18" s="29" t="s">
        <v>384</v>
      </c>
      <c r="D18" s="29" t="s">
        <v>391</v>
      </c>
      <c r="E18" s="29" t="s">
        <v>392</v>
      </c>
      <c r="F18" s="29">
        <v>3</v>
      </c>
      <c r="G18" s="29">
        <v>3</v>
      </c>
      <c r="H18" s="29">
        <v>1</v>
      </c>
      <c r="I18" s="29" t="s">
        <v>41</v>
      </c>
      <c r="J18" s="29"/>
      <c r="K18" s="29"/>
      <c r="L18" s="29"/>
    </row>
    <row r="19" spans="1:12" s="26" customFormat="1" ht="28.8" x14ac:dyDescent="0.3">
      <c r="A19" s="29">
        <v>4126</v>
      </c>
      <c r="B19" s="29" t="str">
        <f t="shared" si="0"/>
        <v>0x101E</v>
      </c>
      <c r="C19" s="29" t="s">
        <v>384</v>
      </c>
      <c r="D19" s="29" t="s">
        <v>393</v>
      </c>
      <c r="E19" s="29" t="s">
        <v>394</v>
      </c>
      <c r="F19" s="29">
        <v>7</v>
      </c>
      <c r="G19" s="29">
        <v>4</v>
      </c>
      <c r="H19" s="29">
        <v>4</v>
      </c>
      <c r="I19" s="29" t="s">
        <v>41</v>
      </c>
      <c r="J19" s="29"/>
      <c r="K19" s="29"/>
      <c r="L19" s="29"/>
    </row>
    <row r="20" spans="1:12" s="26" customFormat="1" x14ac:dyDescent="0.3">
      <c r="A20" s="30">
        <v>4127</v>
      </c>
      <c r="B20" s="30" t="str">
        <f t="shared" si="0"/>
        <v>0x101F</v>
      </c>
      <c r="C20" s="30" t="s">
        <v>395</v>
      </c>
      <c r="D20" s="30" t="s">
        <v>396</v>
      </c>
      <c r="E20" s="30" t="s">
        <v>397</v>
      </c>
      <c r="F20" s="30">
        <v>0</v>
      </c>
      <c r="G20" s="30">
        <v>0</v>
      </c>
      <c r="H20" s="30">
        <v>1</v>
      </c>
      <c r="I20" s="30" t="s">
        <v>41</v>
      </c>
      <c r="J20" s="30"/>
      <c r="K20" s="30"/>
      <c r="L20" s="30"/>
    </row>
    <row r="21" spans="1:12" s="26" customFormat="1" x14ac:dyDescent="0.3">
      <c r="A21" s="30">
        <v>4127</v>
      </c>
      <c r="B21" s="30" t="str">
        <f t="shared" si="0"/>
        <v>0x101F</v>
      </c>
      <c r="C21" s="30" t="s">
        <v>395</v>
      </c>
      <c r="D21" s="30" t="s">
        <v>398</v>
      </c>
      <c r="E21" s="30" t="s">
        <v>399</v>
      </c>
      <c r="F21" s="30">
        <v>1</v>
      </c>
      <c r="G21" s="30">
        <v>1</v>
      </c>
      <c r="H21" s="30">
        <v>1</v>
      </c>
      <c r="I21" s="30" t="s">
        <v>41</v>
      </c>
      <c r="J21" s="30"/>
      <c r="K21" s="30"/>
      <c r="L21" s="30"/>
    </row>
    <row r="22" spans="1:12" s="26" customFormat="1" x14ac:dyDescent="0.3">
      <c r="A22" s="30">
        <v>4127</v>
      </c>
      <c r="B22" s="30" t="str">
        <f t="shared" si="0"/>
        <v>0x101F</v>
      </c>
      <c r="C22" s="30" t="s">
        <v>395</v>
      </c>
      <c r="D22" s="30" t="s">
        <v>400</v>
      </c>
      <c r="E22" s="30" t="s">
        <v>401</v>
      </c>
      <c r="F22" s="30">
        <v>2</v>
      </c>
      <c r="G22" s="30">
        <v>2</v>
      </c>
      <c r="H22" s="30">
        <v>1</v>
      </c>
      <c r="I22" s="30" t="s">
        <v>41</v>
      </c>
      <c r="J22" s="30"/>
      <c r="K22" s="30"/>
      <c r="L22" s="30"/>
    </row>
    <row r="23" spans="1:12" s="26" customFormat="1" x14ac:dyDescent="0.3">
      <c r="A23" s="30">
        <v>4127</v>
      </c>
      <c r="B23" s="30" t="str">
        <f t="shared" si="0"/>
        <v>0x101F</v>
      </c>
      <c r="C23" s="30" t="s">
        <v>395</v>
      </c>
      <c r="D23" s="30" t="s">
        <v>402</v>
      </c>
      <c r="E23" s="30" t="s">
        <v>403</v>
      </c>
      <c r="F23" s="30">
        <v>3</v>
      </c>
      <c r="G23" s="30">
        <v>3</v>
      </c>
      <c r="H23" s="30">
        <v>1</v>
      </c>
      <c r="I23" s="30" t="s">
        <v>41</v>
      </c>
      <c r="J23" s="30"/>
      <c r="K23" s="30"/>
      <c r="L23" s="30"/>
    </row>
    <row r="24" spans="1:12" s="26" customFormat="1" ht="28.8" x14ac:dyDescent="0.3">
      <c r="A24" s="30">
        <v>4127</v>
      </c>
      <c r="B24" s="30" t="str">
        <f t="shared" si="0"/>
        <v>0x101F</v>
      </c>
      <c r="C24" s="30" t="s">
        <v>395</v>
      </c>
      <c r="D24" s="30" t="s">
        <v>404</v>
      </c>
      <c r="E24" s="30" t="s">
        <v>405</v>
      </c>
      <c r="F24" s="30">
        <v>7</v>
      </c>
      <c r="G24" s="30">
        <v>4</v>
      </c>
      <c r="H24" s="30">
        <v>4</v>
      </c>
      <c r="I24" s="30" t="s">
        <v>41</v>
      </c>
      <c r="J24" s="30"/>
      <c r="K24" s="30"/>
      <c r="L24" s="30"/>
    </row>
    <row r="25" spans="1:12" s="26" customFormat="1" x14ac:dyDescent="0.3">
      <c r="A25" s="29">
        <v>4129</v>
      </c>
      <c r="B25" s="29" t="str">
        <f t="shared" si="0"/>
        <v>0x1021</v>
      </c>
      <c r="C25" s="29" t="s">
        <v>406</v>
      </c>
      <c r="D25" s="29" t="s">
        <v>35</v>
      </c>
      <c r="E25" s="29" t="s">
        <v>407</v>
      </c>
      <c r="F25" s="29">
        <v>13</v>
      </c>
      <c r="G25" s="29">
        <v>0</v>
      </c>
      <c r="H25" s="29">
        <v>14</v>
      </c>
      <c r="I25" s="29" t="s">
        <v>69</v>
      </c>
      <c r="J25" s="29"/>
      <c r="K25" s="29"/>
      <c r="L25" s="29"/>
    </row>
    <row r="26" spans="1:12" s="26" customFormat="1" x14ac:dyDescent="0.3">
      <c r="A26" s="29">
        <v>4129</v>
      </c>
      <c r="B26" s="29" t="str">
        <f t="shared" si="0"/>
        <v>0x1021</v>
      </c>
      <c r="C26" s="29" t="s">
        <v>406</v>
      </c>
      <c r="D26" s="29" t="s">
        <v>408</v>
      </c>
      <c r="E26" s="29" t="s">
        <v>409</v>
      </c>
      <c r="F26" s="29">
        <v>14</v>
      </c>
      <c r="G26" s="29">
        <v>14</v>
      </c>
      <c r="H26" s="29">
        <v>1</v>
      </c>
      <c r="I26" s="29" t="s">
        <v>41</v>
      </c>
      <c r="J26" s="29"/>
      <c r="K26" s="29"/>
      <c r="L26" s="29"/>
    </row>
    <row r="27" spans="1:12" s="26" customFormat="1" x14ac:dyDescent="0.3">
      <c r="A27" s="30">
        <v>4130</v>
      </c>
      <c r="B27" s="30" t="str">
        <f t="shared" si="0"/>
        <v>0x1022</v>
      </c>
      <c r="C27" s="30" t="s">
        <v>410</v>
      </c>
      <c r="D27" s="30" t="s">
        <v>411</v>
      </c>
      <c r="E27" s="30" t="s">
        <v>412</v>
      </c>
      <c r="F27" s="30">
        <v>3</v>
      </c>
      <c r="G27" s="30">
        <v>0</v>
      </c>
      <c r="H27" s="30">
        <v>4</v>
      </c>
      <c r="I27" s="30" t="s">
        <v>41</v>
      </c>
      <c r="J27" s="30"/>
      <c r="K27" s="30"/>
      <c r="L27" s="30"/>
    </row>
    <row r="28" spans="1:12" s="26" customFormat="1" x14ac:dyDescent="0.3">
      <c r="A28" s="30">
        <v>4130</v>
      </c>
      <c r="B28" s="30" t="str">
        <f t="shared" si="0"/>
        <v>0x1022</v>
      </c>
      <c r="C28" s="30" t="s">
        <v>410</v>
      </c>
      <c r="D28" s="30" t="s">
        <v>413</v>
      </c>
      <c r="E28" s="30" t="s">
        <v>414</v>
      </c>
      <c r="F28" s="30">
        <v>7</v>
      </c>
      <c r="G28" s="30">
        <v>4</v>
      </c>
      <c r="H28" s="30">
        <v>4</v>
      </c>
      <c r="I28" s="30" t="s">
        <v>41</v>
      </c>
      <c r="J28" s="30"/>
      <c r="K28" s="30"/>
      <c r="L28" s="30"/>
    </row>
    <row r="29" spans="1:12" s="26" customFormat="1" x14ac:dyDescent="0.3">
      <c r="A29" s="30">
        <v>4130</v>
      </c>
      <c r="B29" s="30" t="str">
        <f t="shared" si="0"/>
        <v>0x1022</v>
      </c>
      <c r="C29" s="30" t="s">
        <v>410</v>
      </c>
      <c r="D29" s="30" t="s">
        <v>415</v>
      </c>
      <c r="E29" s="30" t="s">
        <v>416</v>
      </c>
      <c r="F29" s="30">
        <v>8</v>
      </c>
      <c r="G29" s="30">
        <v>8</v>
      </c>
      <c r="H29" s="30">
        <v>1</v>
      </c>
      <c r="I29" s="30" t="s">
        <v>41</v>
      </c>
      <c r="J29" s="30"/>
      <c r="K29" s="30"/>
      <c r="L29" s="30"/>
    </row>
    <row r="30" spans="1:12" s="26" customFormat="1" x14ac:dyDescent="0.3">
      <c r="A30" s="30">
        <v>4130</v>
      </c>
      <c r="B30" s="30" t="str">
        <f t="shared" si="0"/>
        <v>0x1022</v>
      </c>
      <c r="C30" s="30" t="s">
        <v>410</v>
      </c>
      <c r="D30" s="30" t="s">
        <v>417</v>
      </c>
      <c r="E30" s="30" t="s">
        <v>418</v>
      </c>
      <c r="F30" s="30">
        <v>9</v>
      </c>
      <c r="G30" s="30">
        <v>9</v>
      </c>
      <c r="H30" s="30">
        <v>1</v>
      </c>
      <c r="I30" s="30" t="s">
        <v>41</v>
      </c>
      <c r="J30" s="30"/>
      <c r="K30" s="30"/>
      <c r="L30" s="30"/>
    </row>
    <row r="31" spans="1:12" s="26" customFormat="1" x14ac:dyDescent="0.3">
      <c r="A31" s="29">
        <v>4131</v>
      </c>
      <c r="B31" s="29" t="str">
        <f t="shared" si="0"/>
        <v>0x1023</v>
      </c>
      <c r="C31" s="29" t="s">
        <v>419</v>
      </c>
      <c r="D31" s="29" t="s">
        <v>419</v>
      </c>
      <c r="E31" s="29" t="s">
        <v>420</v>
      </c>
      <c r="F31" s="29">
        <v>7</v>
      </c>
      <c r="G31" s="29">
        <v>0</v>
      </c>
      <c r="H31" s="29">
        <v>8</v>
      </c>
      <c r="I31" s="29" t="s">
        <v>25</v>
      </c>
      <c r="J31" s="29"/>
      <c r="K31" s="29"/>
      <c r="L31" s="29"/>
    </row>
    <row r="32" spans="1:12" s="26" customFormat="1" x14ac:dyDescent="0.3">
      <c r="A32" s="30">
        <v>4132</v>
      </c>
      <c r="B32" s="30" t="str">
        <f t="shared" si="0"/>
        <v>0x1024</v>
      </c>
      <c r="C32" s="30" t="s">
        <v>421</v>
      </c>
      <c r="D32" s="30" t="s">
        <v>421</v>
      </c>
      <c r="E32" s="30" t="s">
        <v>422</v>
      </c>
      <c r="F32" s="30">
        <v>7</v>
      </c>
      <c r="G32" s="30">
        <v>0</v>
      </c>
      <c r="H32" s="30">
        <v>8</v>
      </c>
      <c r="I32" s="30" t="s">
        <v>25</v>
      </c>
      <c r="J32" s="30"/>
      <c r="K32" s="30"/>
      <c r="L32" s="30"/>
    </row>
    <row r="33" spans="1:12" s="26" customFormat="1" x14ac:dyDescent="0.3">
      <c r="A33" s="29">
        <v>4133</v>
      </c>
      <c r="B33" s="29" t="str">
        <f t="shared" si="0"/>
        <v>0x1025</v>
      </c>
      <c r="C33" s="29" t="s">
        <v>423</v>
      </c>
      <c r="D33" s="29" t="s">
        <v>423</v>
      </c>
      <c r="E33" s="29" t="s">
        <v>424</v>
      </c>
      <c r="F33" s="29">
        <v>7</v>
      </c>
      <c r="G33" s="29">
        <v>0</v>
      </c>
      <c r="H33" s="29">
        <v>8</v>
      </c>
      <c r="I33" s="29" t="s">
        <v>25</v>
      </c>
      <c r="J33" s="29"/>
      <c r="K33" s="29"/>
      <c r="L33" s="29"/>
    </row>
    <row r="34" spans="1:12" s="26" customFormat="1" x14ac:dyDescent="0.3">
      <c r="A34" s="30">
        <v>4134</v>
      </c>
      <c r="B34" s="30" t="str">
        <f t="shared" si="0"/>
        <v>0x1026</v>
      </c>
      <c r="C34" s="30" t="s">
        <v>425</v>
      </c>
      <c r="D34" s="30" t="s">
        <v>425</v>
      </c>
      <c r="E34" s="30" t="s">
        <v>426</v>
      </c>
      <c r="F34" s="30">
        <v>7</v>
      </c>
      <c r="G34" s="30">
        <v>0</v>
      </c>
      <c r="H34" s="30">
        <v>8</v>
      </c>
      <c r="I34" s="30" t="s">
        <v>25</v>
      </c>
      <c r="J34" s="30"/>
      <c r="K34" s="30"/>
      <c r="L34" s="30"/>
    </row>
    <row r="35" spans="1:12" s="26" customFormat="1" x14ac:dyDescent="0.3">
      <c r="A35" s="29">
        <v>4135</v>
      </c>
      <c r="B35" s="29" t="str">
        <f t="shared" si="0"/>
        <v>0x1027</v>
      </c>
      <c r="C35" s="29" t="s">
        <v>427</v>
      </c>
      <c r="D35" s="29" t="s">
        <v>427</v>
      </c>
      <c r="E35" s="29" t="s">
        <v>428</v>
      </c>
      <c r="F35" s="29">
        <v>7</v>
      </c>
      <c r="G35" s="29">
        <v>0</v>
      </c>
      <c r="H35" s="29">
        <v>8</v>
      </c>
      <c r="I35" s="29" t="s">
        <v>25</v>
      </c>
      <c r="J35" s="29"/>
      <c r="K35" s="29"/>
      <c r="L35" s="29"/>
    </row>
    <row r="36" spans="1:12" s="26" customFormat="1" x14ac:dyDescent="0.3">
      <c r="A36" s="30">
        <v>4136</v>
      </c>
      <c r="B36" s="30" t="str">
        <f t="shared" si="0"/>
        <v>0x1028</v>
      </c>
      <c r="C36" s="30" t="s">
        <v>429</v>
      </c>
      <c r="D36" s="30" t="s">
        <v>429</v>
      </c>
      <c r="E36" s="30" t="s">
        <v>430</v>
      </c>
      <c r="F36" s="30">
        <v>7</v>
      </c>
      <c r="G36" s="30">
        <v>0</v>
      </c>
      <c r="H36" s="30">
        <v>8</v>
      </c>
      <c r="I36" s="30" t="s">
        <v>25</v>
      </c>
      <c r="J36" s="30"/>
      <c r="K36" s="30"/>
      <c r="L36" s="30"/>
    </row>
    <row r="37" spans="1:12" s="26" customFormat="1" x14ac:dyDescent="0.3">
      <c r="A37" s="29">
        <v>4137</v>
      </c>
      <c r="B37" s="29" t="str">
        <f t="shared" ref="B37:B64" si="1">_xlfn.CONCAT("0x",DEC2HEX(A37,4))</f>
        <v>0x1029</v>
      </c>
      <c r="C37" s="29" t="s">
        <v>431</v>
      </c>
      <c r="D37" s="29" t="s">
        <v>431</v>
      </c>
      <c r="E37" s="29" t="s">
        <v>432</v>
      </c>
      <c r="F37" s="29">
        <v>7</v>
      </c>
      <c r="G37" s="29">
        <v>0</v>
      </c>
      <c r="H37" s="29">
        <v>8</v>
      </c>
      <c r="I37" s="29" t="s">
        <v>25</v>
      </c>
      <c r="J37" s="29"/>
      <c r="K37" s="29"/>
      <c r="L37" s="29"/>
    </row>
    <row r="38" spans="1:12" s="26" customFormat="1" x14ac:dyDescent="0.3">
      <c r="A38" s="30">
        <v>4138</v>
      </c>
      <c r="B38" s="30" t="str">
        <f t="shared" si="1"/>
        <v>0x102A</v>
      </c>
      <c r="C38" s="30" t="s">
        <v>433</v>
      </c>
      <c r="D38" s="30" t="s">
        <v>433</v>
      </c>
      <c r="E38" s="30" t="s">
        <v>434</v>
      </c>
      <c r="F38" s="30">
        <v>7</v>
      </c>
      <c r="G38" s="30">
        <v>0</v>
      </c>
      <c r="H38" s="30">
        <v>8</v>
      </c>
      <c r="I38" s="30" t="s">
        <v>25</v>
      </c>
      <c r="J38" s="30"/>
      <c r="K38" s="30"/>
      <c r="L38" s="30"/>
    </row>
    <row r="39" spans="1:12" s="26" customFormat="1" x14ac:dyDescent="0.3">
      <c r="A39" s="29">
        <v>4139</v>
      </c>
      <c r="B39" s="29" t="str">
        <f t="shared" si="1"/>
        <v>0x102B</v>
      </c>
      <c r="C39" s="29" t="s">
        <v>435</v>
      </c>
      <c r="D39" s="29" t="s">
        <v>435</v>
      </c>
      <c r="E39" s="29" t="s">
        <v>436</v>
      </c>
      <c r="F39" s="29">
        <v>7</v>
      </c>
      <c r="G39" s="29">
        <v>0</v>
      </c>
      <c r="H39" s="29">
        <v>8</v>
      </c>
      <c r="I39" s="29" t="s">
        <v>25</v>
      </c>
      <c r="J39" s="29"/>
      <c r="K39" s="29"/>
      <c r="L39" s="29"/>
    </row>
    <row r="40" spans="1:12" s="26" customFormat="1" x14ac:dyDescent="0.3">
      <c r="A40" s="30">
        <v>4140</v>
      </c>
      <c r="B40" s="30" t="str">
        <f t="shared" si="1"/>
        <v>0x102C</v>
      </c>
      <c r="C40" s="30" t="s">
        <v>437</v>
      </c>
      <c r="D40" s="30" t="s">
        <v>437</v>
      </c>
      <c r="E40" s="30" t="s">
        <v>438</v>
      </c>
      <c r="F40" s="30">
        <v>7</v>
      </c>
      <c r="G40" s="30">
        <v>0</v>
      </c>
      <c r="H40" s="30">
        <v>8</v>
      </c>
      <c r="I40" s="30" t="s">
        <v>25</v>
      </c>
      <c r="J40" s="30"/>
      <c r="K40" s="30"/>
      <c r="L40" s="30"/>
    </row>
    <row r="41" spans="1:12" s="26" customFormat="1" x14ac:dyDescent="0.3">
      <c r="A41" s="29">
        <v>4141</v>
      </c>
      <c r="B41" s="29" t="str">
        <f t="shared" si="1"/>
        <v>0x102D</v>
      </c>
      <c r="C41" s="29" t="s">
        <v>439</v>
      </c>
      <c r="D41" s="29" t="s">
        <v>439</v>
      </c>
      <c r="E41" s="29" t="s">
        <v>440</v>
      </c>
      <c r="F41" s="29">
        <v>7</v>
      </c>
      <c r="G41" s="29">
        <v>0</v>
      </c>
      <c r="H41" s="29">
        <v>8</v>
      </c>
      <c r="I41" s="29" t="s">
        <v>25</v>
      </c>
      <c r="J41" s="29"/>
      <c r="K41" s="29"/>
      <c r="L41" s="29"/>
    </row>
    <row r="42" spans="1:12" s="26" customFormat="1" x14ac:dyDescent="0.3">
      <c r="A42" s="30">
        <v>4142</v>
      </c>
      <c r="B42" s="30" t="str">
        <f t="shared" si="1"/>
        <v>0x102E</v>
      </c>
      <c r="C42" s="30" t="s">
        <v>441</v>
      </c>
      <c r="D42" s="30" t="s">
        <v>35</v>
      </c>
      <c r="E42" s="30" t="s">
        <v>442</v>
      </c>
      <c r="F42" s="30">
        <v>7</v>
      </c>
      <c r="G42" s="30">
        <v>0</v>
      </c>
      <c r="H42" s="30">
        <v>8</v>
      </c>
      <c r="I42" s="30" t="s">
        <v>69</v>
      </c>
      <c r="J42" s="30"/>
      <c r="K42" s="30"/>
      <c r="L42" s="30"/>
    </row>
    <row r="43" spans="1:12" s="26" customFormat="1" x14ac:dyDescent="0.3">
      <c r="A43" s="29">
        <v>4143</v>
      </c>
      <c r="B43" s="29" t="str">
        <f t="shared" si="1"/>
        <v>0x102F</v>
      </c>
      <c r="C43" s="29" t="s">
        <v>443</v>
      </c>
      <c r="D43" s="29" t="s">
        <v>35</v>
      </c>
      <c r="E43" s="29" t="s">
        <v>442</v>
      </c>
      <c r="F43" s="29">
        <v>7</v>
      </c>
      <c r="G43" s="29">
        <v>0</v>
      </c>
      <c r="H43" s="29">
        <v>8</v>
      </c>
      <c r="I43" s="29" t="s">
        <v>69</v>
      </c>
      <c r="J43" s="29"/>
      <c r="K43" s="29"/>
      <c r="L43" s="29"/>
    </row>
    <row r="44" spans="1:12" s="26" customFormat="1" x14ac:dyDescent="0.3">
      <c r="A44" s="30">
        <v>4144</v>
      </c>
      <c r="B44" s="30" t="str">
        <f t="shared" si="1"/>
        <v>0x1030</v>
      </c>
      <c r="C44" s="30" t="s">
        <v>444</v>
      </c>
      <c r="D44" s="30" t="s">
        <v>444</v>
      </c>
      <c r="E44" s="30" t="s">
        <v>445</v>
      </c>
      <c r="F44" s="30">
        <v>7</v>
      </c>
      <c r="G44" s="30">
        <v>0</v>
      </c>
      <c r="H44" s="30">
        <v>8</v>
      </c>
      <c r="I44" s="30" t="s">
        <v>25</v>
      </c>
      <c r="J44" s="30"/>
      <c r="K44" s="30"/>
      <c r="L44" s="30"/>
    </row>
    <row r="45" spans="1:12" s="26" customFormat="1" x14ac:dyDescent="0.3">
      <c r="A45" s="29">
        <v>4145</v>
      </c>
      <c r="B45" s="29" t="str">
        <f t="shared" si="1"/>
        <v>0x1031</v>
      </c>
      <c r="C45" s="29" t="s">
        <v>446</v>
      </c>
      <c r="D45" s="29" t="s">
        <v>35</v>
      </c>
      <c r="E45" s="29" t="s">
        <v>447</v>
      </c>
      <c r="F45" s="29">
        <v>9</v>
      </c>
      <c r="G45" s="29">
        <v>0</v>
      </c>
      <c r="H45" s="29">
        <v>10</v>
      </c>
      <c r="I45" s="29" t="s">
        <v>69</v>
      </c>
      <c r="J45" s="29"/>
      <c r="K45" s="29"/>
      <c r="L45" s="29"/>
    </row>
    <row r="46" spans="1:12" s="26" customFormat="1" x14ac:dyDescent="0.3">
      <c r="A46" s="29">
        <v>4145</v>
      </c>
      <c r="B46" s="29" t="str">
        <f t="shared" si="1"/>
        <v>0x1031</v>
      </c>
      <c r="C46" s="29" t="s">
        <v>446</v>
      </c>
      <c r="D46" s="29" t="s">
        <v>448</v>
      </c>
      <c r="E46" s="29" t="s">
        <v>449</v>
      </c>
      <c r="F46" s="29">
        <v>10</v>
      </c>
      <c r="G46" s="29">
        <v>10</v>
      </c>
      <c r="H46" s="29">
        <v>1</v>
      </c>
      <c r="I46" s="29" t="s">
        <v>41</v>
      </c>
      <c r="J46" s="29"/>
      <c r="K46" s="29"/>
      <c r="L46" s="29"/>
    </row>
    <row r="47" spans="1:12" s="26" customFormat="1" x14ac:dyDescent="0.3">
      <c r="A47" s="29">
        <v>4145</v>
      </c>
      <c r="B47" s="29" t="str">
        <f t="shared" si="1"/>
        <v>0x1031</v>
      </c>
      <c r="C47" s="29" t="s">
        <v>446</v>
      </c>
      <c r="D47" s="29" t="s">
        <v>450</v>
      </c>
      <c r="E47" s="29" t="s">
        <v>451</v>
      </c>
      <c r="F47" s="29">
        <v>12</v>
      </c>
      <c r="G47" s="29">
        <v>11</v>
      </c>
      <c r="H47" s="29">
        <v>2</v>
      </c>
      <c r="I47" s="29" t="s">
        <v>41</v>
      </c>
      <c r="J47" s="29"/>
      <c r="K47" s="29"/>
      <c r="L47" s="29"/>
    </row>
    <row r="48" spans="1:12" s="26" customFormat="1" x14ac:dyDescent="0.3">
      <c r="A48" s="29">
        <v>4145</v>
      </c>
      <c r="B48" s="29" t="str">
        <f t="shared" si="1"/>
        <v>0x1031</v>
      </c>
      <c r="C48" s="29" t="s">
        <v>446</v>
      </c>
      <c r="D48" s="29" t="s">
        <v>452</v>
      </c>
      <c r="E48" s="29" t="s">
        <v>453</v>
      </c>
      <c r="F48" s="29">
        <v>15</v>
      </c>
      <c r="G48" s="29">
        <v>13</v>
      </c>
      <c r="H48" s="29">
        <v>3</v>
      </c>
      <c r="I48" s="29" t="s">
        <v>41</v>
      </c>
      <c r="J48" s="29"/>
      <c r="K48" s="29"/>
      <c r="L48" s="29"/>
    </row>
    <row r="49" spans="1:12" s="26" customFormat="1" x14ac:dyDescent="0.3">
      <c r="A49" s="30">
        <v>4146</v>
      </c>
      <c r="B49" s="30" t="str">
        <f t="shared" si="1"/>
        <v>0x1032</v>
      </c>
      <c r="C49" s="30" t="s">
        <v>454</v>
      </c>
      <c r="D49" s="30" t="s">
        <v>455</v>
      </c>
      <c r="E49" s="30" t="s">
        <v>456</v>
      </c>
      <c r="F49" s="30">
        <v>0</v>
      </c>
      <c r="G49" s="30">
        <v>0</v>
      </c>
      <c r="H49" s="30">
        <v>1</v>
      </c>
      <c r="I49" s="30" t="s">
        <v>41</v>
      </c>
      <c r="J49" s="30"/>
      <c r="K49" s="30"/>
      <c r="L49" s="30"/>
    </row>
    <row r="50" spans="1:12" s="26" customFormat="1" x14ac:dyDescent="0.3">
      <c r="A50" s="30">
        <v>4146</v>
      </c>
      <c r="B50" s="30" t="str">
        <f t="shared" si="1"/>
        <v>0x1032</v>
      </c>
      <c r="C50" s="30" t="s">
        <v>454</v>
      </c>
      <c r="D50" s="30" t="s">
        <v>457</v>
      </c>
      <c r="E50" s="30" t="s">
        <v>458</v>
      </c>
      <c r="F50" s="30">
        <v>1</v>
      </c>
      <c r="G50" s="30">
        <v>1</v>
      </c>
      <c r="H50" s="30">
        <v>1</v>
      </c>
      <c r="I50" s="30" t="s">
        <v>41</v>
      </c>
      <c r="J50" s="30"/>
      <c r="K50" s="30"/>
      <c r="L50" s="30"/>
    </row>
    <row r="51" spans="1:12" s="26" customFormat="1" x14ac:dyDescent="0.3">
      <c r="A51" s="30">
        <v>4146</v>
      </c>
      <c r="B51" s="30" t="str">
        <f t="shared" si="1"/>
        <v>0x1032</v>
      </c>
      <c r="C51" s="30" t="s">
        <v>454</v>
      </c>
      <c r="D51" s="30" t="s">
        <v>459</v>
      </c>
      <c r="E51" s="30" t="s">
        <v>460</v>
      </c>
      <c r="F51" s="30">
        <v>2</v>
      </c>
      <c r="G51" s="30">
        <v>2</v>
      </c>
      <c r="H51" s="30">
        <v>1</v>
      </c>
      <c r="I51" s="30" t="s">
        <v>41</v>
      </c>
      <c r="J51" s="30"/>
      <c r="K51" s="30"/>
      <c r="L51" s="30"/>
    </row>
    <row r="52" spans="1:12" s="26" customFormat="1" x14ac:dyDescent="0.3">
      <c r="A52" s="30">
        <v>4146</v>
      </c>
      <c r="B52" s="30" t="str">
        <f t="shared" si="1"/>
        <v>0x1032</v>
      </c>
      <c r="C52" s="30" t="s">
        <v>454</v>
      </c>
      <c r="D52" s="30" t="s">
        <v>461</v>
      </c>
      <c r="E52" s="30" t="s">
        <v>462</v>
      </c>
      <c r="F52" s="30">
        <v>3</v>
      </c>
      <c r="G52" s="30">
        <v>3</v>
      </c>
      <c r="H52" s="30">
        <v>1</v>
      </c>
      <c r="I52" s="30" t="s">
        <v>41</v>
      </c>
      <c r="J52" s="30"/>
      <c r="K52" s="30"/>
      <c r="L52" s="30"/>
    </row>
    <row r="53" spans="1:12" s="26" customFormat="1" x14ac:dyDescent="0.3">
      <c r="A53" s="30">
        <v>4146</v>
      </c>
      <c r="B53" s="30" t="str">
        <f t="shared" si="1"/>
        <v>0x1032</v>
      </c>
      <c r="C53" s="30" t="s">
        <v>454</v>
      </c>
      <c r="D53" s="30" t="s">
        <v>35</v>
      </c>
      <c r="E53" s="30" t="s">
        <v>68</v>
      </c>
      <c r="F53" s="30">
        <v>7</v>
      </c>
      <c r="G53" s="30">
        <v>4</v>
      </c>
      <c r="H53" s="30">
        <v>4</v>
      </c>
      <c r="I53" s="30" t="s">
        <v>69</v>
      </c>
      <c r="J53" s="30"/>
      <c r="K53" s="30"/>
      <c r="L53" s="30"/>
    </row>
    <row r="54" spans="1:12" s="26" customFormat="1" x14ac:dyDescent="0.3">
      <c r="A54" s="29">
        <v>4147</v>
      </c>
      <c r="B54" s="29" t="str">
        <f t="shared" si="1"/>
        <v>0x1033</v>
      </c>
      <c r="C54" s="29" t="s">
        <v>463</v>
      </c>
      <c r="D54" s="29" t="s">
        <v>464</v>
      </c>
      <c r="E54" s="29" t="s">
        <v>465</v>
      </c>
      <c r="F54" s="29">
        <v>1</v>
      </c>
      <c r="G54" s="29">
        <v>0</v>
      </c>
      <c r="H54" s="29">
        <v>2</v>
      </c>
      <c r="I54" s="29" t="s">
        <v>41</v>
      </c>
      <c r="J54" s="29"/>
      <c r="K54" s="29"/>
      <c r="L54" s="29"/>
    </row>
    <row r="55" spans="1:12" s="26" customFormat="1" x14ac:dyDescent="0.3">
      <c r="A55" s="29">
        <v>4147</v>
      </c>
      <c r="B55" s="29" t="str">
        <f t="shared" si="1"/>
        <v>0x1033</v>
      </c>
      <c r="C55" s="29" t="s">
        <v>463</v>
      </c>
      <c r="D55" s="29" t="s">
        <v>466</v>
      </c>
      <c r="E55" s="29" t="s">
        <v>467</v>
      </c>
      <c r="F55" s="29">
        <v>3</v>
      </c>
      <c r="G55" s="29">
        <v>2</v>
      </c>
      <c r="H55" s="29">
        <v>2</v>
      </c>
      <c r="I55" s="29" t="s">
        <v>41</v>
      </c>
      <c r="J55" s="29"/>
      <c r="K55" s="29"/>
      <c r="L55" s="29"/>
    </row>
    <row r="56" spans="1:12" s="26" customFormat="1" x14ac:dyDescent="0.3">
      <c r="A56" s="29">
        <v>4147</v>
      </c>
      <c r="B56" s="29" t="str">
        <f t="shared" si="1"/>
        <v>0x1033</v>
      </c>
      <c r="C56" s="29" t="s">
        <v>463</v>
      </c>
      <c r="D56" s="29" t="s">
        <v>35</v>
      </c>
      <c r="E56" s="29" t="s">
        <v>68</v>
      </c>
      <c r="F56" s="29">
        <v>7</v>
      </c>
      <c r="G56" s="29">
        <v>4</v>
      </c>
      <c r="H56" s="29">
        <v>4</v>
      </c>
      <c r="I56" s="29" t="s">
        <v>69</v>
      </c>
      <c r="J56" s="29"/>
      <c r="K56" s="29"/>
      <c r="L56" s="29"/>
    </row>
    <row r="57" spans="1:12" s="26" customFormat="1" x14ac:dyDescent="0.3">
      <c r="A57" s="30">
        <v>4148</v>
      </c>
      <c r="B57" s="30" t="str">
        <f t="shared" si="1"/>
        <v>0x1034</v>
      </c>
      <c r="C57" s="30" t="s">
        <v>468</v>
      </c>
      <c r="D57" s="30" t="s">
        <v>469</v>
      </c>
      <c r="E57" s="30" t="s">
        <v>470</v>
      </c>
      <c r="F57" s="30">
        <v>1</v>
      </c>
      <c r="G57" s="30">
        <v>0</v>
      </c>
      <c r="H57" s="30">
        <v>2</v>
      </c>
      <c r="I57" s="30" t="s">
        <v>41</v>
      </c>
      <c r="J57" s="30"/>
      <c r="K57" s="30"/>
      <c r="L57" s="30"/>
    </row>
    <row r="58" spans="1:12" s="26" customFormat="1" x14ac:dyDescent="0.3">
      <c r="A58" s="30">
        <v>4148</v>
      </c>
      <c r="B58" s="30" t="str">
        <f t="shared" si="1"/>
        <v>0x1034</v>
      </c>
      <c r="C58" s="30" t="s">
        <v>468</v>
      </c>
      <c r="D58" s="30" t="s">
        <v>471</v>
      </c>
      <c r="E58" s="30" t="s">
        <v>472</v>
      </c>
      <c r="F58" s="30">
        <v>3</v>
      </c>
      <c r="G58" s="30">
        <v>2</v>
      </c>
      <c r="H58" s="30">
        <v>2</v>
      </c>
      <c r="I58" s="30" t="s">
        <v>41</v>
      </c>
      <c r="J58" s="30"/>
      <c r="K58" s="30"/>
      <c r="L58" s="30"/>
    </row>
    <row r="59" spans="1:12" s="26" customFormat="1" x14ac:dyDescent="0.3">
      <c r="A59" s="29">
        <v>4149</v>
      </c>
      <c r="B59" s="29" t="str">
        <f t="shared" si="1"/>
        <v>0x1035</v>
      </c>
      <c r="C59" s="29" t="s">
        <v>473</v>
      </c>
      <c r="D59" s="29" t="s">
        <v>474</v>
      </c>
      <c r="E59" s="29" t="s">
        <v>475</v>
      </c>
      <c r="F59" s="29">
        <v>1</v>
      </c>
      <c r="G59" s="29">
        <v>0</v>
      </c>
      <c r="H59" s="29">
        <v>2</v>
      </c>
      <c r="I59" s="29" t="s">
        <v>41</v>
      </c>
      <c r="J59" s="29"/>
      <c r="K59" s="29"/>
      <c r="L59" s="29"/>
    </row>
    <row r="60" spans="1:12" s="26" customFormat="1" x14ac:dyDescent="0.3">
      <c r="A60" s="29">
        <v>4149</v>
      </c>
      <c r="B60" s="29" t="str">
        <f t="shared" si="1"/>
        <v>0x1035</v>
      </c>
      <c r="C60" s="29" t="s">
        <v>473</v>
      </c>
      <c r="D60" s="29" t="s">
        <v>476</v>
      </c>
      <c r="E60" s="29" t="s">
        <v>477</v>
      </c>
      <c r="F60" s="29">
        <v>3</v>
      </c>
      <c r="G60" s="29">
        <v>2</v>
      </c>
      <c r="H60" s="29">
        <v>2</v>
      </c>
      <c r="I60" s="29" t="s">
        <v>41</v>
      </c>
      <c r="J60" s="29"/>
      <c r="K60" s="29"/>
      <c r="L60" s="29"/>
    </row>
    <row r="61" spans="1:12" s="26" customFormat="1" x14ac:dyDescent="0.3">
      <c r="A61" s="30">
        <v>4150</v>
      </c>
      <c r="B61" s="30" t="str">
        <f t="shared" si="1"/>
        <v>0x1036</v>
      </c>
      <c r="C61" s="30" t="s">
        <v>478</v>
      </c>
      <c r="D61" s="30" t="s">
        <v>479</v>
      </c>
      <c r="E61" s="30" t="s">
        <v>480</v>
      </c>
      <c r="F61" s="30">
        <v>1</v>
      </c>
      <c r="G61" s="30">
        <v>0</v>
      </c>
      <c r="H61" s="30">
        <v>2</v>
      </c>
      <c r="I61" s="30" t="s">
        <v>41</v>
      </c>
      <c r="J61" s="30"/>
      <c r="K61" s="30"/>
      <c r="L61" s="30"/>
    </row>
    <row r="62" spans="1:12" s="26" customFormat="1" x14ac:dyDescent="0.3">
      <c r="A62" s="30">
        <v>4150</v>
      </c>
      <c r="B62" s="30" t="str">
        <f t="shared" si="1"/>
        <v>0x1036</v>
      </c>
      <c r="C62" s="30" t="s">
        <v>478</v>
      </c>
      <c r="D62" s="30" t="s">
        <v>481</v>
      </c>
      <c r="E62" s="30" t="s">
        <v>482</v>
      </c>
      <c r="F62" s="30">
        <v>3</v>
      </c>
      <c r="G62" s="30">
        <v>2</v>
      </c>
      <c r="H62" s="30">
        <v>2</v>
      </c>
      <c r="I62" s="30" t="s">
        <v>41</v>
      </c>
      <c r="J62" s="30"/>
      <c r="K62" s="30"/>
      <c r="L62" s="30"/>
    </row>
    <row r="63" spans="1:12" s="26" customFormat="1" x14ac:dyDescent="0.3">
      <c r="A63" s="29">
        <v>4151</v>
      </c>
      <c r="B63" s="29" t="str">
        <f t="shared" si="1"/>
        <v>0x1037</v>
      </c>
      <c r="C63" s="29" t="s">
        <v>483</v>
      </c>
      <c r="D63" s="29" t="s">
        <v>484</v>
      </c>
      <c r="E63" s="29" t="s">
        <v>485</v>
      </c>
      <c r="F63" s="29">
        <v>1</v>
      </c>
      <c r="G63" s="29">
        <v>0</v>
      </c>
      <c r="H63" s="29">
        <v>2</v>
      </c>
      <c r="I63" s="29" t="s">
        <v>41</v>
      </c>
      <c r="J63" s="29"/>
      <c r="K63" s="29"/>
      <c r="L63" s="29"/>
    </row>
    <row r="64" spans="1:12" s="26" customFormat="1" x14ac:dyDescent="0.3">
      <c r="A64" s="29">
        <v>4151</v>
      </c>
      <c r="B64" s="29" t="str">
        <f t="shared" si="1"/>
        <v>0x1037</v>
      </c>
      <c r="C64" s="29" t="s">
        <v>483</v>
      </c>
      <c r="D64" s="29" t="s">
        <v>486</v>
      </c>
      <c r="E64" s="29" t="s">
        <v>487</v>
      </c>
      <c r="F64" s="29">
        <v>3</v>
      </c>
      <c r="G64" s="29">
        <v>2</v>
      </c>
      <c r="H64" s="29">
        <v>2</v>
      </c>
      <c r="I64" s="29" t="s">
        <v>41</v>
      </c>
      <c r="J64" s="29"/>
      <c r="K64" s="29"/>
      <c r="L64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topLeftCell="D1" zoomScaleNormal="100" workbookViewId="0">
      <selection activeCell="M9" sqref="M9"/>
    </sheetView>
  </sheetViews>
  <sheetFormatPr defaultColWidth="8.6640625"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7" width="5" customWidth="1"/>
    <col min="13" max="13" width="10.88671875" customWidth="1"/>
    <col min="14" max="14" width="10.5546875" customWidth="1"/>
  </cols>
  <sheetData>
    <row r="1" spans="1:14" ht="14.25" customHeight="1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  <c r="F1" s="4"/>
      <c r="G1" s="4"/>
      <c r="H1" s="4"/>
      <c r="I1" s="4"/>
      <c r="J1" s="4"/>
      <c r="K1" s="4"/>
      <c r="L1" s="4"/>
    </row>
    <row r="2" spans="1:14" ht="14.25" customHeight="1" x14ac:dyDescent="0.3">
      <c r="A2" s="9" t="s">
        <v>9</v>
      </c>
      <c r="B2" s="4"/>
      <c r="C2" s="10">
        <f>Setup!B2</f>
        <v>46161</v>
      </c>
      <c r="D2" s="10" t="str">
        <f>Setup!C2</f>
        <v>PA3</v>
      </c>
      <c r="E2" s="5" t="s">
        <v>10</v>
      </c>
      <c r="F2" s="4"/>
      <c r="G2" s="4"/>
      <c r="H2" s="4"/>
      <c r="I2" s="4"/>
      <c r="J2" s="4"/>
      <c r="K2" s="4"/>
      <c r="L2" s="4"/>
    </row>
    <row r="3" spans="1:14" ht="14.25" customHeight="1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11" t="s">
        <v>20</v>
      </c>
      <c r="K3" s="13" t="s">
        <v>21</v>
      </c>
      <c r="L3" s="13" t="s">
        <v>22</v>
      </c>
      <c r="M3" s="13" t="s">
        <v>496</v>
      </c>
      <c r="N3" s="13" t="s">
        <v>497</v>
      </c>
    </row>
    <row r="4" spans="1:14" ht="14.25" customHeight="1" x14ac:dyDescent="0.3">
      <c r="A4" s="14"/>
      <c r="B4" s="14"/>
      <c r="C4" s="14"/>
      <c r="D4" s="15"/>
      <c r="E4" s="16"/>
      <c r="F4" s="14"/>
      <c r="G4" s="14"/>
      <c r="H4" s="14"/>
      <c r="I4" s="17"/>
      <c r="J4" s="14"/>
      <c r="K4" s="14"/>
      <c r="L4" s="14"/>
      <c r="M4" s="14"/>
      <c r="N4" s="14"/>
    </row>
    <row r="5" spans="1:14" ht="14.25" customHeight="1" x14ac:dyDescent="0.3">
      <c r="A5" s="22">
        <v>4104</v>
      </c>
      <c r="B5" s="18" t="str">
        <f>_xlfn.CONCAT("0x",DEC2HEX(A5,4))</f>
        <v>0x1008</v>
      </c>
      <c r="C5" s="22" t="s">
        <v>49</v>
      </c>
      <c r="D5" s="22" t="s">
        <v>488</v>
      </c>
      <c r="E5" s="22" t="s">
        <v>489</v>
      </c>
      <c r="F5" s="22">
        <v>1</v>
      </c>
      <c r="G5" s="22">
        <v>0</v>
      </c>
      <c r="H5" s="22">
        <v>2</v>
      </c>
      <c r="I5" s="22" t="s">
        <v>41</v>
      </c>
      <c r="J5" s="22"/>
      <c r="K5" s="22"/>
      <c r="L5" s="22"/>
      <c r="M5" s="22">
        <v>1</v>
      </c>
      <c r="N5" s="22">
        <v>0</v>
      </c>
    </row>
    <row r="6" spans="1:14" ht="14.25" customHeight="1" x14ac:dyDescent="0.3">
      <c r="A6" s="22">
        <v>4105</v>
      </c>
      <c r="B6" s="18" t="str">
        <f>_xlfn.CONCAT("0x",DEC2HEX(A6,4))</f>
        <v>0x1009</v>
      </c>
      <c r="C6" s="22" t="s">
        <v>65</v>
      </c>
      <c r="D6" s="22" t="s">
        <v>488</v>
      </c>
      <c r="E6" s="22" t="s">
        <v>490</v>
      </c>
      <c r="F6" s="22">
        <v>8</v>
      </c>
      <c r="G6" s="22">
        <v>8</v>
      </c>
      <c r="H6" s="22">
        <v>1</v>
      </c>
      <c r="I6" s="22" t="s">
        <v>41</v>
      </c>
      <c r="J6" s="22"/>
      <c r="K6" s="22"/>
      <c r="L6" s="22"/>
      <c r="M6" s="22">
        <v>2</v>
      </c>
      <c r="N6" s="22">
        <v>2</v>
      </c>
    </row>
    <row r="7" spans="1:14" ht="14.25" customHeight="1" x14ac:dyDescent="0.3">
      <c r="A7" s="22">
        <v>4106</v>
      </c>
      <c r="B7" s="18" t="str">
        <f>_xlfn.CONCAT("0x",DEC2HEX(A7,4))</f>
        <v>0x100A</v>
      </c>
      <c r="C7" s="22" t="s">
        <v>75</v>
      </c>
      <c r="D7" s="22" t="s">
        <v>488</v>
      </c>
      <c r="E7" s="22" t="s">
        <v>491</v>
      </c>
      <c r="F7" s="22">
        <v>8</v>
      </c>
      <c r="G7" s="22">
        <v>8</v>
      </c>
      <c r="H7" s="22">
        <v>1</v>
      </c>
      <c r="I7" s="22" t="s">
        <v>41</v>
      </c>
      <c r="J7" s="22"/>
      <c r="K7" s="22"/>
      <c r="L7" s="22"/>
      <c r="M7" s="22">
        <v>3</v>
      </c>
      <c r="N7" s="22">
        <v>3</v>
      </c>
    </row>
    <row r="8" spans="1:14" ht="14.25" customHeight="1" x14ac:dyDescent="0.3">
      <c r="A8" s="22">
        <v>4107</v>
      </c>
      <c r="B8" s="18" t="str">
        <f>_xlfn.CONCAT("0x",DEC2HEX(A8,4))</f>
        <v>0x100B</v>
      </c>
      <c r="C8" s="22" t="s">
        <v>80</v>
      </c>
      <c r="D8" s="22" t="s">
        <v>488</v>
      </c>
      <c r="E8" s="22" t="s">
        <v>492</v>
      </c>
      <c r="F8" s="22">
        <v>8</v>
      </c>
      <c r="G8" s="22">
        <v>8</v>
      </c>
      <c r="H8" s="22">
        <v>1</v>
      </c>
      <c r="I8" s="22" t="s">
        <v>41</v>
      </c>
      <c r="J8" s="22"/>
      <c r="K8" s="22"/>
      <c r="L8" s="22"/>
      <c r="M8" s="22">
        <v>4</v>
      </c>
      <c r="N8" s="22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F70E-D970-4A62-9466-554DAF44D4AD}">
  <dimension ref="A1:N12"/>
  <sheetViews>
    <sheetView tabSelected="1" workbookViewId="0">
      <selection activeCell="J20" sqref="J20"/>
    </sheetView>
  </sheetViews>
  <sheetFormatPr defaultRowHeight="14.4" x14ac:dyDescent="0.3"/>
  <cols>
    <col min="2" max="2" width="18.88671875" customWidth="1"/>
    <col min="3" max="3" width="24.44140625" customWidth="1"/>
    <col min="4" max="4" width="31.6640625" customWidth="1"/>
    <col min="5" max="5" width="55.77734375" customWidth="1"/>
    <col min="6" max="6" width="5" customWidth="1"/>
    <col min="8" max="8" width="9.88671875" customWidth="1"/>
    <col min="9" max="11" width="16.33203125" customWidth="1"/>
    <col min="13" max="14" width="11.33203125" customWidth="1"/>
  </cols>
  <sheetData>
    <row r="1" spans="1:14" x14ac:dyDescent="0.3">
      <c r="A1" s="6" t="s">
        <v>7</v>
      </c>
      <c r="B1" s="6"/>
      <c r="C1" s="7" t="s">
        <v>0</v>
      </c>
      <c r="D1" s="7" t="s">
        <v>1</v>
      </c>
      <c r="E1" s="8" t="s">
        <v>8</v>
      </c>
      <c r="F1" s="4"/>
      <c r="G1" s="4"/>
      <c r="H1" s="4"/>
      <c r="I1" s="4"/>
      <c r="J1" s="4"/>
      <c r="K1" s="4"/>
      <c r="L1" s="4" t="s">
        <v>524</v>
      </c>
      <c r="M1" s="4"/>
      <c r="N1" s="4"/>
    </row>
    <row r="2" spans="1:14" x14ac:dyDescent="0.3">
      <c r="A2" s="9" t="s">
        <v>9</v>
      </c>
      <c r="B2" s="4"/>
      <c r="C2" s="10">
        <f>[1]Setup!B2</f>
        <v>46161</v>
      </c>
      <c r="D2" s="10" t="str">
        <f>[1]Setup!C2</f>
        <v>PA1</v>
      </c>
      <c r="E2" s="5" t="s">
        <v>513</v>
      </c>
      <c r="F2" s="4"/>
      <c r="G2" s="4"/>
      <c r="H2" s="4"/>
      <c r="I2" s="4"/>
      <c r="J2" s="4"/>
      <c r="K2" s="4"/>
      <c r="M2" s="4" t="s">
        <v>514</v>
      </c>
      <c r="N2" s="4"/>
    </row>
    <row r="3" spans="1:14" x14ac:dyDescent="0.3">
      <c r="A3" s="11" t="s">
        <v>11</v>
      </c>
      <c r="B3" s="11" t="s">
        <v>12</v>
      </c>
      <c r="C3" s="11" t="s">
        <v>13</v>
      </c>
      <c r="D3" s="11" t="s">
        <v>14</v>
      </c>
      <c r="E3" s="12" t="s">
        <v>15</v>
      </c>
      <c r="F3" s="11" t="s">
        <v>16</v>
      </c>
      <c r="G3" s="11" t="s">
        <v>17</v>
      </c>
      <c r="H3" s="11" t="s">
        <v>18</v>
      </c>
      <c r="I3" s="11" t="s">
        <v>515</v>
      </c>
      <c r="J3" s="11" t="s">
        <v>516</v>
      </c>
      <c r="K3" s="11" t="s">
        <v>517</v>
      </c>
      <c r="L3" s="11" t="s">
        <v>19</v>
      </c>
      <c r="M3" s="11" t="s">
        <v>518</v>
      </c>
      <c r="N3" s="11" t="s">
        <v>519</v>
      </c>
    </row>
    <row r="4" spans="1:14" x14ac:dyDescent="0.3">
      <c r="A4" s="31"/>
      <c r="B4" s="31"/>
      <c r="C4" s="31"/>
      <c r="D4" s="32"/>
      <c r="E4" s="33"/>
      <c r="F4" s="31"/>
      <c r="G4" s="31"/>
      <c r="H4" s="31"/>
      <c r="I4" s="31"/>
      <c r="J4" s="31"/>
      <c r="K4" s="31"/>
      <c r="L4" s="34"/>
      <c r="M4" s="31"/>
      <c r="N4" s="31"/>
    </row>
    <row r="5" spans="1:14" x14ac:dyDescent="0.3">
      <c r="A5" s="29">
        <v>4181</v>
      </c>
      <c r="B5" s="29" t="str">
        <f t="shared" ref="B5:B12" si="0">_xlfn.CONCAT("0x",DEC2HEX(A5,4))</f>
        <v>0x1055</v>
      </c>
      <c r="C5" s="29" t="str">
        <f t="shared" ref="C5:C8" si="1">"bias_ctrl" &amp; "_" &amp; (A5-4152)</f>
        <v>bias_ctrl_29</v>
      </c>
      <c r="D5" s="29" t="s">
        <v>506</v>
      </c>
      <c r="E5" s="29" t="s">
        <v>503</v>
      </c>
      <c r="F5" s="29">
        <v>13</v>
      </c>
      <c r="G5" s="29">
        <v>8</v>
      </c>
      <c r="H5" s="29">
        <v>6</v>
      </c>
      <c r="I5" s="29" t="s">
        <v>520</v>
      </c>
      <c r="J5" s="29">
        <v>0</v>
      </c>
      <c r="K5" s="29">
        <v>0</v>
      </c>
      <c r="L5" s="29" t="s">
        <v>526</v>
      </c>
      <c r="M5" s="29" t="s">
        <v>521</v>
      </c>
      <c r="N5" s="29"/>
    </row>
    <row r="6" spans="1:14" ht="43.2" x14ac:dyDescent="0.3">
      <c r="A6" s="29">
        <v>4185</v>
      </c>
      <c r="B6" s="29" t="str">
        <f t="shared" si="0"/>
        <v>0x1059</v>
      </c>
      <c r="C6" s="29" t="str">
        <f t="shared" si="1"/>
        <v>bias_ctrl_33</v>
      </c>
      <c r="D6" s="29" t="s">
        <v>511</v>
      </c>
      <c r="E6" s="29" t="s">
        <v>512</v>
      </c>
      <c r="F6" s="29">
        <v>7</v>
      </c>
      <c r="G6" s="29">
        <v>0</v>
      </c>
      <c r="H6" s="29">
        <v>8</v>
      </c>
      <c r="I6" s="29" t="s">
        <v>520</v>
      </c>
      <c r="J6" s="29">
        <v>0</v>
      </c>
      <c r="K6" s="29">
        <v>1</v>
      </c>
      <c r="L6" s="29" t="s">
        <v>522</v>
      </c>
      <c r="M6" s="29" t="s">
        <v>521</v>
      </c>
      <c r="N6" s="29"/>
    </row>
    <row r="7" spans="1:14" ht="43.2" x14ac:dyDescent="0.3">
      <c r="A7" s="29">
        <v>4184</v>
      </c>
      <c r="B7" s="29" t="str">
        <f t="shared" si="0"/>
        <v>0x1058</v>
      </c>
      <c r="C7" s="29" t="str">
        <f t="shared" si="1"/>
        <v>bias_ctrl_32</v>
      </c>
      <c r="D7" s="29" t="s">
        <v>507</v>
      </c>
      <c r="E7" s="29" t="s">
        <v>508</v>
      </c>
      <c r="F7" s="29">
        <v>7</v>
      </c>
      <c r="G7" s="29">
        <v>0</v>
      </c>
      <c r="H7" s="29">
        <v>8</v>
      </c>
      <c r="I7" s="29" t="s">
        <v>520</v>
      </c>
      <c r="J7" s="29">
        <v>0</v>
      </c>
      <c r="K7" s="29">
        <v>2</v>
      </c>
      <c r="L7" s="29" t="s">
        <v>25</v>
      </c>
      <c r="M7" s="29" t="s">
        <v>523</v>
      </c>
      <c r="N7" s="29"/>
    </row>
    <row r="8" spans="1:14" ht="43.2" x14ac:dyDescent="0.3">
      <c r="A8" s="29">
        <v>4184</v>
      </c>
      <c r="B8" s="29" t="str">
        <f t="shared" si="0"/>
        <v>0x1058</v>
      </c>
      <c r="C8" s="29" t="str">
        <f t="shared" si="1"/>
        <v>bias_ctrl_32</v>
      </c>
      <c r="D8" s="29" t="s">
        <v>509</v>
      </c>
      <c r="E8" s="29" t="s">
        <v>510</v>
      </c>
      <c r="F8" s="29">
        <v>15</v>
      </c>
      <c r="G8" s="29">
        <v>8</v>
      </c>
      <c r="H8" s="29">
        <v>8</v>
      </c>
      <c r="I8" s="29" t="s">
        <v>520</v>
      </c>
      <c r="J8" s="29">
        <v>0</v>
      </c>
      <c r="K8" s="29">
        <v>3</v>
      </c>
      <c r="L8" s="29" t="s">
        <v>522</v>
      </c>
      <c r="M8" s="29" t="s">
        <v>523</v>
      </c>
      <c r="N8" s="29"/>
    </row>
    <row r="9" spans="1:14" x14ac:dyDescent="0.3">
      <c r="A9" s="27">
        <v>4200</v>
      </c>
      <c r="B9" s="27" t="str">
        <f t="shared" si="0"/>
        <v>0x1068</v>
      </c>
      <c r="C9" s="27" t="s">
        <v>243</v>
      </c>
      <c r="D9" s="27" t="s">
        <v>244</v>
      </c>
      <c r="E9" s="27" t="s">
        <v>245</v>
      </c>
      <c r="F9" s="27">
        <v>2</v>
      </c>
      <c r="G9" s="27">
        <v>0</v>
      </c>
      <c r="H9" s="27">
        <v>3</v>
      </c>
      <c r="I9" s="27" t="s">
        <v>520</v>
      </c>
      <c r="J9" s="27">
        <v>0</v>
      </c>
      <c r="K9" s="27">
        <v>4</v>
      </c>
      <c r="L9" s="27" t="s">
        <v>525</v>
      </c>
      <c r="M9" s="27"/>
      <c r="N9" s="27">
        <v>0</v>
      </c>
    </row>
    <row r="10" spans="1:14" x14ac:dyDescent="0.3">
      <c r="A10" s="27">
        <v>4201</v>
      </c>
      <c r="B10" s="27" t="str">
        <f t="shared" si="0"/>
        <v>0x1069</v>
      </c>
      <c r="C10" s="27" t="s">
        <v>252</v>
      </c>
      <c r="D10" s="27" t="s">
        <v>253</v>
      </c>
      <c r="E10" s="27" t="s">
        <v>254</v>
      </c>
      <c r="F10" s="27">
        <v>2</v>
      </c>
      <c r="G10" s="27">
        <v>0</v>
      </c>
      <c r="H10" s="27">
        <v>3</v>
      </c>
      <c r="I10" s="27" t="s">
        <v>520</v>
      </c>
      <c r="J10" s="27">
        <v>0</v>
      </c>
      <c r="K10" s="27">
        <v>5</v>
      </c>
      <c r="L10" s="27" t="s">
        <v>525</v>
      </c>
      <c r="M10" s="27"/>
      <c r="N10" s="27">
        <v>0</v>
      </c>
    </row>
    <row r="11" spans="1:14" x14ac:dyDescent="0.3">
      <c r="A11" s="27">
        <v>4202</v>
      </c>
      <c r="B11" s="27" t="str">
        <f t="shared" si="0"/>
        <v>0x106A</v>
      </c>
      <c r="C11" s="27" t="s">
        <v>261</v>
      </c>
      <c r="D11" s="27" t="s">
        <v>262</v>
      </c>
      <c r="E11" s="27" t="s">
        <v>263</v>
      </c>
      <c r="F11" s="27">
        <v>2</v>
      </c>
      <c r="G11" s="27">
        <v>0</v>
      </c>
      <c r="H11" s="27">
        <v>3</v>
      </c>
      <c r="I11" s="27" t="s">
        <v>520</v>
      </c>
      <c r="J11" s="27">
        <v>0</v>
      </c>
      <c r="K11" s="27">
        <v>6</v>
      </c>
      <c r="L11" s="27" t="s">
        <v>525</v>
      </c>
      <c r="M11" s="27"/>
      <c r="N11" s="27">
        <v>0</v>
      </c>
    </row>
    <row r="12" spans="1:14" x14ac:dyDescent="0.3">
      <c r="A12" s="27">
        <v>4203</v>
      </c>
      <c r="B12" s="27" t="str">
        <f t="shared" si="0"/>
        <v>0x106B</v>
      </c>
      <c r="C12" s="27" t="s">
        <v>270</v>
      </c>
      <c r="D12" s="27" t="s">
        <v>271</v>
      </c>
      <c r="E12" s="27" t="s">
        <v>272</v>
      </c>
      <c r="F12" s="27">
        <v>2</v>
      </c>
      <c r="G12" s="27">
        <v>0</v>
      </c>
      <c r="H12" s="27">
        <v>3</v>
      </c>
      <c r="I12" s="27" t="s">
        <v>520</v>
      </c>
      <c r="J12" s="27">
        <v>0</v>
      </c>
      <c r="K12" s="27">
        <v>7</v>
      </c>
      <c r="L12" s="27" t="s">
        <v>525</v>
      </c>
      <c r="M12" s="27"/>
      <c r="N12" s="2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D19615DFFDBE647B1E40B482C20AD72" ma:contentTypeVersion="11" ma:contentTypeDescription="새 문서를 만듭니다." ma:contentTypeScope="" ma:versionID="14013c2864a09d624ae9ca4d9660e381">
  <xsd:schema xmlns:xsd="http://www.w3.org/2001/XMLSchema" xmlns:xs="http://www.w3.org/2001/XMLSchema" xmlns:p="http://schemas.microsoft.com/office/2006/metadata/properties" xmlns:ns2="19afb738-6731-46ba-8243-6a668033ac63" xmlns:ns3="4fec5dbb-91fa-4cb7-af80-e39a0466368a" targetNamespace="http://schemas.microsoft.com/office/2006/metadata/properties" ma:root="true" ma:fieldsID="ed6d4ef4a0468d4bc127eb98d1a792c4" ns2:_="" ns3:_="">
    <xsd:import namespace="19afb738-6731-46ba-8243-6a668033ac63"/>
    <xsd:import namespace="4fec5dbb-91fa-4cb7-af80-e39a04663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fb738-6731-46ba-8243-6a668033a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c5dbb-91fa-4cb7-af80-e39a0466368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9ef039e-0cfe-4223-a9e0-7e9d9ae6eb25}" ma:internalName="TaxCatchAll" ma:showField="CatchAllData" ma:web="4fec5dbb-91fa-4cb7-af80-e39a046636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ec5dbb-91fa-4cb7-af80-e39a0466368a" xsi:nil="true"/>
    <lcf76f155ced4ddcb4097134ff3c332f xmlns="19afb738-6731-46ba-8243-6a668033ac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34814F-68B7-440C-B039-12DD43835FBD}"/>
</file>

<file path=customXml/itemProps2.xml><?xml version="1.0" encoding="utf-8"?>
<ds:datastoreItem xmlns:ds="http://schemas.openxmlformats.org/officeDocument/2006/customXml" ds:itemID="{08ED8DA2-2DCB-4676-B5D2-0BB9E20CE84D}"/>
</file>

<file path=customXml/itemProps3.xml><?xml version="1.0" encoding="utf-8"?>
<ds:datastoreItem xmlns:ds="http://schemas.openxmlformats.org/officeDocument/2006/customXml" ds:itemID="{D4D00166-D53B-473C-854C-3908F64294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SYS</vt:lpstr>
      <vt:lpstr>CTRL</vt:lpstr>
      <vt:lpstr>CAL</vt:lpstr>
      <vt:lpstr>BIAS</vt:lpstr>
      <vt:lpstr>ADC</vt:lpstr>
      <vt:lpstr>MACRO</vt:lpstr>
      <vt:lpstr>EFUSE_INSTRUCTIONS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Casper Sneitz</dc:creator>
  <dc:description/>
  <cp:lastModifiedBy>Casper Sneitz</cp:lastModifiedBy>
  <cp:revision>0</cp:revision>
  <dcterms:created xsi:type="dcterms:W3CDTF">2015-06-05T18:17:20Z</dcterms:created>
  <dcterms:modified xsi:type="dcterms:W3CDTF">2026-05-22T16:35:46Z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0x010100DD19615DFFDBE647B1E40B482C20AD72</vt:lpwstr>
  </property>
</Properties>
</file>